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G:\2. WJI\WJI GitHUB\GovernorsBoardMeeting 2026\"/>
    </mc:Choice>
  </mc:AlternateContent>
  <xr:revisionPtr revIDLastSave="0" documentId="13_ncr:1_{22F837B7-92EB-469F-A915-568B520F6305}" xr6:coauthVersionLast="47" xr6:coauthVersionMax="47" xr10:uidLastSave="{00000000-0000-0000-0000-000000000000}"/>
  <bookViews>
    <workbookView xWindow="-28920" yWindow="-1545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8" i="1" l="1"/>
  <c r="T90" i="1"/>
  <c r="S90" i="1"/>
  <c r="S88" i="1"/>
  <c r="K163" i="1"/>
  <c r="L142" i="1"/>
  <c r="K142" i="1"/>
  <c r="J163" i="1"/>
</calcChain>
</file>

<file path=xl/sharedStrings.xml><?xml version="1.0" encoding="utf-8"?>
<sst xmlns="http://schemas.openxmlformats.org/spreadsheetml/2006/main" count="473" uniqueCount="162">
  <si>
    <t>***********************</t>
  </si>
  <si>
    <t>Pritzker long timer</t>
  </si>
  <si>
    <t>*********************</t>
  </si>
  <si>
    <t>***Women, New Court Admissions****</t>
  </si>
  <si>
    <t>SPLIT FILE off.</t>
  </si>
  <si>
    <t>use all.</t>
  </si>
  <si>
    <t>DATASET ACTIVATE DataSet1.</t>
  </si>
  <si>
    <t>COMPUTE filter_$ = (SexSort = 1 &amp; AdmissionTypeSort = 1 &amp;</t>
  </si>
  <si>
    <t>(QYR = DATE.DMY(1, 10, 2025) | QYR = DATE.DMY(1, 10, 2015))).</t>
  </si>
  <si>
    <t>VARIABLE LABELS filter_$ 'SexSort=1, AdmType=1, QYR=10/1/25 or 10/1/15 (FILTER)'.</t>
  </si>
  <si>
    <t>VALUE LABELS filter_$ 0 'Not Selected' 1 'Selected'.</t>
  </si>
  <si>
    <t>FORMATS filter_$ (f1.0).</t>
  </si>
  <si>
    <t>FILTER BY filter_$.</t>
  </si>
  <si>
    <t>EXECUTE.</t>
  </si>
  <si>
    <t>CROSSTABS</t>
  </si>
  <si>
    <t>/TABLES=QYR BY LongTimer_Dich OffenseLevelSort OffenseTypeSort TruthinSentencing</t>
  </si>
  <si>
    <t>/FORMAT=AVALUE TABLES</t>
  </si>
  <si>
    <t>/CELLS=COUNT Row</t>
  </si>
  <si>
    <t>/COUNT ROUND CELL.</t>
  </si>
  <si>
    <t>Crosstabs</t>
  </si>
  <si>
    <t>Notes</t>
  </si>
  <si>
    <t>Output Created</t>
  </si>
  <si>
    <t>14-APR-2026 11:43:11</t>
  </si>
  <si>
    <t>Comments</t>
  </si>
  <si>
    <t/>
  </si>
  <si>
    <t>Input</t>
  </si>
  <si>
    <t>Data</t>
  </si>
  <si>
    <t>G:\Data &amp; Syntax\IDOC data\Prison Pop\Cleaned data\BiannualPrisonStockPop2005-December2025 - Copy.sav</t>
  </si>
  <si>
    <t>Active Dataset</t>
  </si>
  <si>
    <t>DataSet1</t>
  </si>
  <si>
    <t>Filter</t>
  </si>
  <si>
    <t>SexSort=1, AdmType=1, QYR=10/1/25 or 10/1/15 (FILTER)</t>
  </si>
  <si>
    <t>Weight</t>
  </si>
  <si>
    <t>&lt;none&gt;</t>
  </si>
  <si>
    <t>Split File</t>
  </si>
  <si>
    <t>N of Rows in Working Data File</t>
  </si>
  <si>
    <t>Missing Value Handling</t>
  </si>
  <si>
    <t>Definition of Missing</t>
  </si>
  <si>
    <t>User-defined missing values are treated as missing.</t>
  </si>
  <si>
    <t>Cases Used</t>
  </si>
  <si>
    <t>Statistics for each table are based on all the cases with valid data in the specified range(s) for all variables in each table.</t>
  </si>
  <si>
    <t>Syntax</t>
  </si>
  <si>
    <t>CROSSTABS
  /TABLES=QYR BY LongTimer_Dich OffenseLevelSort OffenseTypeSort TruthinSentencing
  /FORMAT=AVALUE TABLES
  /CELLS=COUNT Row
  /COUNT ROUND CELL.</t>
  </si>
  <si>
    <t>Resources</t>
  </si>
  <si>
    <t>Processor Time</t>
  </si>
  <si>
    <t>00:00:06.14</t>
  </si>
  <si>
    <t>Elapsed Time</t>
  </si>
  <si>
    <t>00:00:04.37</t>
  </si>
  <si>
    <t>Dimensions Requested</t>
  </si>
  <si>
    <t>Cells Available</t>
  </si>
  <si>
    <t>Case Processing Summary</t>
  </si>
  <si>
    <t>Cases</t>
  </si>
  <si>
    <t>Valid</t>
  </si>
  <si>
    <t>Missing</t>
  </si>
  <si>
    <t>Total</t>
  </si>
  <si>
    <t>N</t>
  </si>
  <si>
    <t>Percent</t>
  </si>
  <si>
    <t>QYR * Identifies Those Projected to Serve 10 years or more, takes TIS into Account</t>
  </si>
  <si>
    <t>QYR * OffenseLevelSort</t>
  </si>
  <si>
    <t>QYR * OffenseTypeSort</t>
  </si>
  <si>
    <t>QYR * Truth in Sentencing</t>
  </si>
  <si>
    <t>QYR * Identifies Those Projected to Serve 10 years or more, takes TIS into Account Crosstabulation</t>
  </si>
  <si>
    <t>Identifies Those Projected to Serve 10 years or more, takes TIS into Account</t>
  </si>
  <si>
    <t>Projected to Serve less than 10 years</t>
  </si>
  <si>
    <t>Projected to Serve 10 years or more (includes LIFE, DEATH and SDP)</t>
  </si>
  <si>
    <t>QYR</t>
  </si>
  <si>
    <t>01-OCT-2015</t>
  </si>
  <si>
    <t>Count</t>
  </si>
  <si>
    <t>% within QYR</t>
  </si>
  <si>
    <t>01-OCT-2025</t>
  </si>
  <si>
    <t>QYR * OffenseLevelSort Crosstabulation</t>
  </si>
  <si>
    <t>OffenseLevelSort</t>
  </si>
  <si>
    <t>Murder</t>
  </si>
  <si>
    <t>Class X</t>
  </si>
  <si>
    <t>Class 1 and 2</t>
  </si>
  <si>
    <t>Class 3 and 4</t>
  </si>
  <si>
    <t>QYR * OffenseTypeSort Crosstabulation</t>
  </si>
  <si>
    <t>OffenseTypeSort</t>
  </si>
  <si>
    <t>Person offense</t>
  </si>
  <si>
    <t>Weapon offense</t>
  </si>
  <si>
    <t>Property offense</t>
  </si>
  <si>
    <t>Drug offense</t>
  </si>
  <si>
    <t>Public order/other offense</t>
  </si>
  <si>
    <t>DUI/Vehicle offense</t>
  </si>
  <si>
    <t>Missing/Unknown</t>
  </si>
  <si>
    <t>QYR * Truth in Sentencing Crosstabulation</t>
  </si>
  <si>
    <t>Truth in Sentencing</t>
  </si>
  <si>
    <t>0.85</t>
  </si>
  <si>
    <t>1</t>
  </si>
  <si>
    <t>100%</t>
  </si>
  <si>
    <t>75% Drug-Related Offenses</t>
  </si>
  <si>
    <t>85%</t>
  </si>
  <si>
    <t>85% Agg Arson</t>
  </si>
  <si>
    <t>85% Agg Discharge Firearm</t>
  </si>
  <si>
    <t>85% Agg Domestic Battery</t>
  </si>
  <si>
    <t>85% Agg DUI w Bodily Harm</t>
  </si>
  <si>
    <t>85% Agg DUI w Death</t>
  </si>
  <si>
    <t>85% Armed Habitual Criminal</t>
  </si>
  <si>
    <t>85% Bodily Harm</t>
  </si>
  <si>
    <t>85% Reckless Homicide</t>
  </si>
  <si>
    <t>Day-for-Day</t>
  </si>
  <si>
    <t>SORT CASES  BY QYR.</t>
  </si>
  <si>
    <t>SPLIT FILE SEPARATE BY QYR.</t>
  </si>
  <si>
    <t>/TABLES=OffenseLevelSort BY OffenseTypeSort</t>
  </si>
  <si>
    <t>/CELLS=COUNT</t>
  </si>
  <si>
    <t>14-APR-2026 11:43:37</t>
  </si>
  <si>
    <t>CROSSTABS
  /TABLES=OffenseLevelSort BY OffenseTypeSort
  /FORMAT=AVALUE TABLES
  /CELLS=COUNT
  /COUNT ROUND CELL.</t>
  </si>
  <si>
    <t>00:00:01.45</t>
  </si>
  <si>
    <t>00:00:04.66</t>
  </si>
  <si>
    <t>QYR = 01-OCT-2015</t>
  </si>
  <si>
    <r>
      <rPr>
        <sz val="14"/>
        <color rgb="FF000000"/>
        <rFont val="Arial Bold"/>
      </rPr>
      <t>Case Processing Summary</t>
    </r>
    <r>
      <rPr>
        <vertAlign val="superscript"/>
        <sz val="14"/>
        <color rgb="FF000000"/>
        <rFont val="Arial Bold"/>
      </rPr>
      <t>a</t>
    </r>
  </si>
  <si>
    <t>OffenseLevelSort * OffenseTypeSort</t>
  </si>
  <si>
    <t>a. QYR = 01-Oct-2015</t>
  </si>
  <si>
    <r>
      <rPr>
        <sz val="14"/>
        <color rgb="FF000000"/>
        <rFont val="Arial Bold"/>
      </rPr>
      <t>OffenseLevelSort * OffenseTypeSort Crosstabulation</t>
    </r>
    <r>
      <rPr>
        <vertAlign val="superscript"/>
        <sz val="14"/>
        <color rgb="FF000000"/>
        <rFont val="Arial Bold"/>
      </rPr>
      <t>a</t>
    </r>
  </si>
  <si>
    <t>QYR = 01-OCT-2025</t>
  </si>
  <si>
    <t>a. QYR = 01-Oct-2025</t>
  </si>
  <si>
    <t>******2025 only*****</t>
  </si>
  <si>
    <t>(QYR = DATE.DMY)).</t>
  </si>
  <si>
    <t>Error # 4285 in column 12.  Text: DATE.DMY</t>
  </si>
  <si>
    <t>Incorrect variable name: either the name is more than 64 characters, or it is</t>
  </si>
  <si>
    <t>not defined by a previous command.</t>
  </si>
  <si>
    <t>Execution of this command stops.</t>
  </si>
  <si>
    <t>SORT CASES  BY LongTimer_Dich.</t>
  </si>
  <si>
    <t>SPLIT FILE SEPARATE BY LongTimer_Dich.</t>
  </si>
  <si>
    <t>FREQUENCIES RaceSort CurrentAgeSort OffenseLevelSort OffenseTypeSort IllinoisRegion.</t>
  </si>
  <si>
    <t>Frequencies</t>
  </si>
  <si>
    <t>14-APR-2026 11:44:18</t>
  </si>
  <si>
    <t>Statistics are based on all cases with valid data.</t>
  </si>
  <si>
    <t>00:00:01.53</t>
  </si>
  <si>
    <t>00:00:05.38</t>
  </si>
  <si>
    <t>Identifies Those Projected to Serve 10 years or more, takes TIS into Account = Projected to Serve less than 10 years</t>
  </si>
  <si>
    <r>
      <rPr>
        <sz val="14"/>
        <color rgb="FF000000"/>
        <rFont val="Arial Bold"/>
      </rPr>
      <t>Statistics</t>
    </r>
    <r>
      <rPr>
        <vertAlign val="superscript"/>
        <sz val="14"/>
        <color rgb="FF000000"/>
        <rFont val="Arial Bold"/>
      </rPr>
      <t>a</t>
    </r>
  </si>
  <si>
    <t>RaceSort</t>
  </si>
  <si>
    <t>CurrentAgeSort</t>
  </si>
  <si>
    <t>IllinoisRegion</t>
  </si>
  <si>
    <t>a. Identifies Those Projected to Serve 10 years or more, takes TIS into Account = Projected to Serve less than 10 years</t>
  </si>
  <si>
    <t>Frequency Table</t>
  </si>
  <si>
    <r>
      <rPr>
        <sz val="14"/>
        <color rgb="FF000000"/>
        <rFont val="Arial Bold"/>
      </rPr>
      <t>RaceSort</t>
    </r>
    <r>
      <rPr>
        <vertAlign val="superscript"/>
        <sz val="14"/>
        <color rgb="FF000000"/>
        <rFont val="Arial Bold"/>
      </rPr>
      <t>a</t>
    </r>
  </si>
  <si>
    <t>Frequency</t>
  </si>
  <si>
    <t>Valid Percent</t>
  </si>
  <si>
    <t>Cumulative Percent</t>
  </si>
  <si>
    <t>White</t>
  </si>
  <si>
    <t>Black</t>
  </si>
  <si>
    <t>Hispanic</t>
  </si>
  <si>
    <t>Asian</t>
  </si>
  <si>
    <t>Another Race/Ethnicity</t>
  </si>
  <si>
    <r>
      <rPr>
        <sz val="14"/>
        <color rgb="FF000000"/>
        <rFont val="Arial Bold"/>
      </rPr>
      <t>CurrentAgeSort</t>
    </r>
    <r>
      <rPr>
        <vertAlign val="superscript"/>
        <sz val="14"/>
        <color rgb="FF000000"/>
        <rFont val="Arial Bold"/>
      </rPr>
      <t>a</t>
    </r>
  </si>
  <si>
    <t>18-24 y.o.</t>
  </si>
  <si>
    <t>25-34 y.o.</t>
  </si>
  <si>
    <t>35-44 y.o.</t>
  </si>
  <si>
    <t>45+ y.o.</t>
  </si>
  <si>
    <r>
      <rPr>
        <sz val="14"/>
        <color rgb="FF000000"/>
        <rFont val="Arial Bold"/>
      </rPr>
      <t>OffenseLevelSort</t>
    </r>
    <r>
      <rPr>
        <vertAlign val="superscript"/>
        <sz val="14"/>
        <color rgb="FF000000"/>
        <rFont val="Arial Bold"/>
      </rPr>
      <t>a</t>
    </r>
  </si>
  <si>
    <r>
      <rPr>
        <sz val="14"/>
        <color rgb="FF000000"/>
        <rFont val="Arial Bold"/>
      </rPr>
      <t>OffenseTypeSort</t>
    </r>
    <r>
      <rPr>
        <vertAlign val="superscript"/>
        <sz val="14"/>
        <color rgb="FF000000"/>
        <rFont val="Arial Bold"/>
      </rPr>
      <t>a</t>
    </r>
  </si>
  <si>
    <r>
      <rPr>
        <sz val="14"/>
        <color rgb="FF000000"/>
        <rFont val="Arial Bold"/>
      </rPr>
      <t>IllinoisRegion</t>
    </r>
    <r>
      <rPr>
        <vertAlign val="superscript"/>
        <sz val="14"/>
        <color rgb="FF000000"/>
        <rFont val="Arial Bold"/>
      </rPr>
      <t>a</t>
    </r>
  </si>
  <si>
    <t>North minus Cook</t>
  </si>
  <si>
    <t>Central</t>
  </si>
  <si>
    <t>South</t>
  </si>
  <si>
    <t>Cook, Lake, McHenry, Kane, DuPage and Will</t>
  </si>
  <si>
    <t>System</t>
  </si>
  <si>
    <t>Identifies Those Projected to Serve 10 years or more, takes TIS into Account = Projected to Serve 10 years or more (includes LIFE, DEATH and SDP)</t>
  </si>
  <si>
    <t>a. Identifies Those Projected to Serve 10 years or more, takes TIS into Account = Projected to Serve 10 years or more (includes LIFE, DEATH and SDP)</t>
  </si>
  <si>
    <t>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</si>
</sst>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##0"/>
    <numFmt numFmtId="165" formatCode="###0.0%"/>
    <numFmt numFmtId="166" formatCode="###0.0"/>
    <numFmt numFmtId="167" formatCode="0.0%"/>
  </numFmts>
  <fonts count="10" x14ac:knownFonts="1">
    <font>
      <sz val="11"/>
      <color theme="1"/>
      <name val="Calibri"/>
      <family val="2"/>
      <scheme val="minor"/>
    </font>
    <font>
      <sz val="12"/>
      <color rgb="FF000000"/>
      <name val="Courier New"/>
      <family val="2"/>
    </font>
    <font>
      <b/>
      <sz val="14"/>
      <color rgb="FF000000"/>
      <name val="Arial Bold"/>
      <family val="2"/>
    </font>
    <font>
      <b/>
      <sz val="14"/>
      <color rgb="FF010205"/>
      <name val="Arial Bold"/>
      <family val="2"/>
    </font>
    <font>
      <sz val="12"/>
      <color rgb="FF264A60"/>
      <name val="Arial"/>
      <family val="2"/>
    </font>
    <font>
      <sz val="12"/>
      <color rgb="FF010205"/>
      <name val="Arial"/>
      <family val="2"/>
    </font>
    <font>
      <sz val="12"/>
      <color rgb="FF000000"/>
      <name val="Arial"/>
      <family val="2"/>
    </font>
    <font>
      <sz val="11"/>
      <color theme="1"/>
      <name val="Calibri"/>
      <family val="2"/>
      <scheme val="minor"/>
    </font>
    <font>
      <sz val="14"/>
      <color rgb="FF000000"/>
      <name val="Arial Bold"/>
    </font>
    <font>
      <vertAlign val="superscript"/>
      <sz val="14"/>
      <color rgb="FF000000"/>
      <name val="Arial Bold"/>
    </font>
  </fonts>
  <fills count="6">
    <fill>
      <patternFill patternType="none"/>
    </fill>
    <fill>
      <patternFill patternType="gray125"/>
    </fill>
    <fill>
      <patternFill patternType="none">
        <bgColor rgb="FFFFFFFF"/>
      </patternFill>
    </fill>
    <fill>
      <patternFill patternType="solid">
        <fgColor rgb="FFE0E0E0"/>
      </patternFill>
    </fill>
    <fill>
      <patternFill patternType="solid">
        <fgColor rgb="FFF9F9FB"/>
      </patternFill>
    </fill>
    <fill>
      <patternFill patternType="solid">
        <fgColor rgb="FFFFFFFF"/>
      </patternFill>
    </fill>
  </fills>
  <borders count="7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AEAEAE"/>
      </bottom>
      <diagonal/>
    </border>
    <border>
      <left/>
      <right/>
      <top/>
      <bottom style="thin">
        <color rgb="FFAEAEAE"/>
      </bottom>
      <diagonal/>
    </border>
    <border>
      <left/>
      <right/>
      <top style="thin">
        <color rgb="FFAEAEAE"/>
      </top>
      <bottom style="thin">
        <color rgb="FFAEAEAE"/>
      </bottom>
      <diagonal/>
    </border>
    <border>
      <left/>
      <right/>
      <top style="thin">
        <color rgb="FFAEAEAE"/>
      </top>
      <bottom style="thin">
        <color rgb="FFAEAEAE"/>
      </bottom>
      <diagonal/>
    </border>
    <border>
      <left/>
      <right/>
      <top style="thin">
        <color rgb="FFAEAEAE"/>
      </top>
      <bottom style="thin">
        <color rgb="FF152935"/>
      </bottom>
      <diagonal/>
    </border>
    <border>
      <left/>
      <right/>
      <top style="thin">
        <color rgb="FFAEAEAE"/>
      </top>
      <bottom style="thin">
        <color rgb="FF152935"/>
      </bottom>
      <diagonal/>
    </border>
    <border>
      <left/>
      <right/>
      <top/>
      <bottom style="thin">
        <color rgb="FFAEAEAE"/>
      </bottom>
      <diagonal/>
    </border>
    <border>
      <left/>
      <right/>
      <top style="thin">
        <color rgb="FFAEAEAE"/>
      </top>
      <bottom style="thin">
        <color rgb="FFAEAEAE"/>
      </bottom>
      <diagonal/>
    </border>
    <border>
      <left/>
      <right/>
      <top style="thin">
        <color rgb="FFAEAEAE"/>
      </top>
      <bottom style="thin">
        <color rgb="FF152935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152935"/>
      </bottom>
      <diagonal/>
    </border>
    <border>
      <left/>
      <right style="thin">
        <color rgb="FFE0E0E0"/>
      </right>
      <top/>
      <bottom/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thin">
        <color rgb="FFE0E0E0"/>
      </left>
      <right/>
      <top/>
      <bottom/>
      <diagonal/>
    </border>
    <border>
      <left style="thin">
        <color rgb="FFE0E0E0"/>
      </left>
      <right/>
      <top/>
      <bottom/>
      <diagonal/>
    </border>
    <border>
      <left/>
      <right/>
      <top/>
      <bottom/>
      <diagonal/>
    </border>
    <border>
      <left style="thin">
        <color rgb="FFE0E0E0"/>
      </left>
      <right/>
      <top/>
      <bottom/>
      <diagonal/>
    </border>
    <border>
      <left/>
      <right style="thin">
        <color rgb="FFE0E0E0"/>
      </right>
      <top/>
      <bottom style="thin">
        <color rgb="FF152935"/>
      </bottom>
      <diagonal/>
    </border>
    <border>
      <left style="thin">
        <color rgb="FFE0E0E0"/>
      </left>
      <right/>
      <top/>
      <bottom style="thin">
        <color rgb="FF152935"/>
      </bottom>
      <diagonal/>
    </border>
    <border>
      <left style="thin">
        <color rgb="FFE0E0E0"/>
      </left>
      <right style="thin">
        <color rgb="FFE0E0E0"/>
      </right>
      <top/>
      <bottom style="thin">
        <color rgb="FF152935"/>
      </bottom>
      <diagonal/>
    </border>
    <border>
      <left style="thin">
        <color rgb="FFE0E0E0"/>
      </left>
      <right/>
      <top/>
      <bottom style="thin">
        <color rgb="FF152935"/>
      </bottom>
      <diagonal/>
    </border>
    <border>
      <left/>
      <right/>
      <top style="thin">
        <color rgb="FF152935"/>
      </top>
      <bottom style="thin">
        <color rgb="FFAEAEAE"/>
      </bottom>
      <diagonal/>
    </border>
    <border>
      <left/>
      <right style="thin">
        <color rgb="FFE0E0E0"/>
      </right>
      <top style="thin">
        <color rgb="FF152935"/>
      </top>
      <bottom style="thin">
        <color rgb="FFAEAEAE"/>
      </bottom>
      <diagonal/>
    </border>
    <border>
      <left style="thin">
        <color rgb="FFE0E0E0"/>
      </left>
      <right/>
      <top style="thin">
        <color rgb="FF152935"/>
      </top>
      <bottom style="thin">
        <color rgb="FFAEAEAE"/>
      </bottom>
      <diagonal/>
    </border>
    <border>
      <left style="thin">
        <color rgb="FFE0E0E0"/>
      </left>
      <right style="thin">
        <color rgb="FFE0E0E0"/>
      </right>
      <top style="thin">
        <color rgb="FF152935"/>
      </top>
      <bottom style="thin">
        <color rgb="FFAEAEAE"/>
      </bottom>
      <diagonal/>
    </border>
    <border>
      <left style="thin">
        <color rgb="FFE0E0E0"/>
      </left>
      <right/>
      <top style="thin">
        <color rgb="FF152935"/>
      </top>
      <bottom style="thin">
        <color rgb="FFAEAEAE"/>
      </bottom>
      <diagonal/>
    </border>
    <border>
      <left/>
      <right style="thin">
        <color rgb="FFE0E0E0"/>
      </right>
      <top style="thin">
        <color rgb="FFAEAEAE"/>
      </top>
      <bottom style="thin">
        <color rgb="FFAEAEAE"/>
      </bottom>
      <diagonal/>
    </border>
    <border>
      <left style="thin">
        <color rgb="FFE0E0E0"/>
      </left>
      <right/>
      <top style="thin">
        <color rgb="FFAEAEAE"/>
      </top>
      <bottom style="thin">
        <color rgb="FFAEAEAE"/>
      </bottom>
      <diagonal/>
    </border>
    <border>
      <left style="thin">
        <color rgb="FFE0E0E0"/>
      </left>
      <right style="thin">
        <color rgb="FFE0E0E0"/>
      </right>
      <top style="thin">
        <color rgb="FFAEAEAE"/>
      </top>
      <bottom style="thin">
        <color rgb="FFAEAEAE"/>
      </bottom>
      <diagonal/>
    </border>
    <border>
      <left style="thin">
        <color rgb="FFE0E0E0"/>
      </left>
      <right/>
      <top style="thin">
        <color rgb="FFAEAEAE"/>
      </top>
      <bottom style="thin">
        <color rgb="FFAEAEAE"/>
      </bottom>
      <diagonal/>
    </border>
    <border>
      <left/>
      <right style="thin">
        <color rgb="FFE0E0E0"/>
      </right>
      <top style="thin">
        <color rgb="FFAEAEAE"/>
      </top>
      <bottom style="thin">
        <color rgb="FF152935"/>
      </bottom>
      <diagonal/>
    </border>
    <border>
      <left style="thin">
        <color rgb="FFE0E0E0"/>
      </left>
      <right/>
      <top style="thin">
        <color rgb="FFAEAEAE"/>
      </top>
      <bottom style="thin">
        <color rgb="FF152935"/>
      </bottom>
      <diagonal/>
    </border>
    <border>
      <left style="thin">
        <color rgb="FFE0E0E0"/>
      </left>
      <right style="thin">
        <color rgb="FFE0E0E0"/>
      </right>
      <top style="thin">
        <color rgb="FFAEAEAE"/>
      </top>
      <bottom style="thin">
        <color rgb="FF152935"/>
      </bottom>
      <diagonal/>
    </border>
    <border>
      <left style="thin">
        <color rgb="FFE0E0E0"/>
      </left>
      <right/>
      <top style="thin">
        <color rgb="FFAEAEAE"/>
      </top>
      <bottom style="thin">
        <color rgb="FF152935"/>
      </bottom>
      <diagonal/>
    </border>
    <border>
      <left/>
      <right/>
      <top/>
      <bottom style="thin">
        <color rgb="FF152935"/>
      </bottom>
      <diagonal/>
    </border>
    <border>
      <left/>
      <right/>
      <top/>
      <bottom style="thin">
        <color rgb="FF152935"/>
      </bottom>
      <diagonal/>
    </border>
    <border>
      <left/>
      <right/>
      <top/>
      <bottom style="thin">
        <color rgb="FF152935"/>
      </bottom>
      <diagonal/>
    </border>
    <border>
      <left style="thin">
        <color rgb="FFE0E0E0"/>
      </left>
      <right/>
      <top/>
      <bottom/>
      <diagonal/>
    </border>
    <border>
      <left/>
      <right/>
      <top style="thin">
        <color rgb="FF152935"/>
      </top>
      <bottom style="thin">
        <color rgb="FFAEAEAE"/>
      </bottom>
      <diagonal/>
    </border>
    <border>
      <left/>
      <right/>
      <top style="thin">
        <color rgb="FFAEAEAE"/>
      </top>
      <bottom/>
      <diagonal/>
    </border>
    <border>
      <left/>
      <right/>
      <top style="thin">
        <color rgb="FF152935"/>
      </top>
      <bottom/>
      <diagonal/>
    </border>
    <border>
      <left/>
      <right/>
      <top style="thin">
        <color rgb="FFAEAEAE"/>
      </top>
      <bottom/>
      <diagonal/>
    </border>
    <border>
      <left/>
      <right/>
      <top style="thin">
        <color rgb="FF152935"/>
      </top>
      <bottom/>
      <diagonal/>
    </border>
    <border>
      <left/>
      <right/>
      <top style="thin">
        <color rgb="FF152935"/>
      </top>
      <bottom style="thin">
        <color rgb="FFAEAEAE"/>
      </bottom>
      <diagonal/>
    </border>
    <border>
      <left/>
      <right/>
      <top style="thin">
        <color rgb="FFAEAEAE"/>
      </top>
      <bottom/>
      <diagonal/>
    </border>
    <border>
      <left/>
      <right/>
      <top style="thin">
        <color rgb="FFAEAEAE"/>
      </top>
      <bottom style="thin">
        <color rgb="FFAEAEAE"/>
      </bottom>
      <diagonal/>
    </border>
    <border>
      <left/>
      <right/>
      <top style="thin">
        <color rgb="FFAEAEAE"/>
      </top>
      <bottom style="thin">
        <color rgb="FF152935"/>
      </bottom>
      <diagonal/>
    </border>
    <border>
      <left/>
      <right style="thin">
        <color rgb="FFE0E0E0"/>
      </right>
      <top style="thin">
        <color rgb="FFAEAEAE"/>
      </top>
      <bottom/>
      <diagonal/>
    </border>
    <border>
      <left style="thin">
        <color rgb="FFE0E0E0"/>
      </left>
      <right/>
      <top style="thin">
        <color rgb="FFAEAEAE"/>
      </top>
      <bottom/>
      <diagonal/>
    </border>
    <border>
      <left style="thin">
        <color rgb="FFE0E0E0"/>
      </left>
      <right/>
      <top style="thin">
        <color rgb="FFAEAEAE"/>
      </top>
      <bottom/>
      <diagonal/>
    </border>
    <border>
      <left style="thin">
        <color rgb="FFE0E0E0"/>
      </left>
      <right style="thin">
        <color rgb="FFE0E0E0"/>
      </right>
      <top style="thin">
        <color rgb="FFAEAEAE"/>
      </top>
      <bottom/>
      <diagonal/>
    </border>
    <border>
      <left/>
      <right/>
      <top style="thin">
        <color rgb="FF152935"/>
      </top>
      <bottom style="thin">
        <color rgb="FF152935"/>
      </bottom>
      <diagonal/>
    </border>
    <border>
      <left/>
      <right style="thin">
        <color rgb="FFE0E0E0"/>
      </right>
      <top style="thin">
        <color rgb="FF152935"/>
      </top>
      <bottom style="thin">
        <color rgb="FF152935"/>
      </bottom>
      <diagonal/>
    </border>
    <border>
      <left style="thin">
        <color rgb="FFE0E0E0"/>
      </left>
      <right/>
      <top style="thin">
        <color rgb="FF152935"/>
      </top>
      <bottom style="thin">
        <color rgb="FF152935"/>
      </bottom>
      <diagonal/>
    </border>
    <border>
      <left style="thin">
        <color rgb="FFE0E0E0"/>
      </left>
      <right style="thin">
        <color rgb="FFE0E0E0"/>
      </right>
      <top style="thin">
        <color rgb="FF152935"/>
      </top>
      <bottom style="thin">
        <color rgb="FF152935"/>
      </bottom>
      <diagonal/>
    </border>
    <border>
      <left style="thin">
        <color rgb="FFE0E0E0"/>
      </left>
      <right/>
      <top style="thin">
        <color rgb="FF152935"/>
      </top>
      <bottom style="thin">
        <color rgb="FF152935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152935"/>
      </bottom>
      <diagonal/>
    </border>
    <border>
      <left/>
      <right/>
      <top/>
      <bottom style="thin">
        <color rgb="FF152935"/>
      </bottom>
      <diagonal/>
    </border>
    <border>
      <left/>
      <right/>
      <top/>
      <bottom style="thin">
        <color rgb="FF152935"/>
      </bottom>
      <diagonal/>
    </border>
    <border>
      <left/>
      <right/>
      <top/>
      <bottom style="thin">
        <color rgb="FF152935"/>
      </bottom>
      <diagonal/>
    </border>
    <border>
      <left style="thin">
        <color rgb="FFE0E0E0"/>
      </left>
      <right style="thin">
        <color rgb="FFE0E0E0"/>
      </right>
      <top/>
      <bottom style="thin">
        <color rgb="FF152935"/>
      </bottom>
      <diagonal/>
    </border>
    <border>
      <left style="thin">
        <color rgb="FFE0E0E0"/>
      </left>
      <right/>
      <top/>
      <bottom style="thin">
        <color rgb="FF152935"/>
      </bottom>
      <diagonal/>
    </border>
    <border>
      <left style="thin">
        <color rgb="FFE0E0E0"/>
      </left>
      <right/>
      <top/>
      <bottom style="thin">
        <color rgb="FF152935"/>
      </bottom>
      <diagonal/>
    </border>
  </borders>
  <cellStyleXfs count="113">
    <xf numFmtId="0" fontId="0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</cellStyleXfs>
  <cellXfs count="114">
    <xf numFmtId="0" fontId="0" fillId="0" borderId="0" xfId="0"/>
    <xf numFmtId="0" fontId="1" fillId="2" borderId="1" xfId="1" applyFont="1" applyFill="1" applyBorder="1"/>
    <xf numFmtId="0" fontId="2" fillId="2" borderId="1" xfId="2" applyFont="1" applyFill="1" applyBorder="1"/>
    <xf numFmtId="0" fontId="4" fillId="3" borderId="7" xfId="9" applyFont="1" applyFill="1" applyBorder="1" applyAlignment="1">
      <alignment horizontal="left" vertical="top" wrapText="1"/>
    </xf>
    <xf numFmtId="0" fontId="4" fillId="3" borderId="8" xfId="10" applyFont="1" applyFill="1" applyBorder="1" applyAlignment="1">
      <alignment horizontal="left" vertical="top" wrapText="1"/>
    </xf>
    <xf numFmtId="0" fontId="4" fillId="3" borderId="10" xfId="12" applyFont="1" applyFill="1" applyBorder="1" applyAlignment="1">
      <alignment horizontal="left" vertical="top" wrapText="1"/>
    </xf>
    <xf numFmtId="0" fontId="5" fillId="4" borderId="11" xfId="13" applyFont="1" applyFill="1" applyBorder="1" applyAlignment="1">
      <alignment horizontal="right" vertical="top"/>
    </xf>
    <xf numFmtId="0" fontId="5" fillId="4" borderId="12" xfId="14" applyFont="1" applyFill="1" applyBorder="1" applyAlignment="1">
      <alignment horizontal="left" vertical="top" wrapText="1"/>
    </xf>
    <xf numFmtId="164" fontId="5" fillId="4" borderId="12" xfId="15" applyNumberFormat="1" applyFont="1" applyFill="1" applyBorder="1" applyAlignment="1">
      <alignment horizontal="right" vertical="top"/>
    </xf>
    <xf numFmtId="0" fontId="5" fillId="4" borderId="12" xfId="16" applyFont="1" applyFill="1" applyBorder="1" applyAlignment="1">
      <alignment horizontal="right" vertical="top"/>
    </xf>
    <xf numFmtId="164" fontId="5" fillId="4" borderId="13" xfId="17" applyNumberFormat="1" applyFont="1" applyFill="1" applyBorder="1" applyAlignment="1">
      <alignment horizontal="right" vertical="top"/>
    </xf>
    <xf numFmtId="0" fontId="4" fillId="2" borderId="23" xfId="29" applyFont="1" applyFill="1" applyBorder="1" applyAlignment="1">
      <alignment horizontal="center" wrapText="1"/>
    </xf>
    <xf numFmtId="0" fontId="4" fillId="2" borderId="24" xfId="30" applyFont="1" applyFill="1" applyBorder="1" applyAlignment="1">
      <alignment horizontal="center" wrapText="1"/>
    </xf>
    <xf numFmtId="0" fontId="4" fillId="2" borderId="25" xfId="31" applyFont="1" applyFill="1" applyBorder="1" applyAlignment="1">
      <alignment horizontal="center" wrapText="1"/>
    </xf>
    <xf numFmtId="0" fontId="4" fillId="2" borderId="26" xfId="32" applyFont="1" applyFill="1" applyBorder="1" applyAlignment="1">
      <alignment horizontal="center" wrapText="1"/>
    </xf>
    <xf numFmtId="0" fontId="4" fillId="3" borderId="27" xfId="33" applyFont="1" applyFill="1" applyBorder="1" applyAlignment="1">
      <alignment horizontal="left" vertical="top" wrapText="1"/>
    </xf>
    <xf numFmtId="0" fontId="4" fillId="3" borderId="12" xfId="34" applyFont="1" applyFill="1" applyBorder="1" applyAlignment="1">
      <alignment horizontal="left" vertical="top" wrapText="1"/>
    </xf>
    <xf numFmtId="0" fontId="4" fillId="3" borderId="13" xfId="35" applyFont="1" applyFill="1" applyBorder="1" applyAlignment="1">
      <alignment horizontal="left" vertical="top" wrapText="1"/>
    </xf>
    <xf numFmtId="164" fontId="5" fillId="4" borderId="28" xfId="36" applyNumberFormat="1" applyFont="1" applyFill="1" applyBorder="1" applyAlignment="1">
      <alignment horizontal="right" vertical="top"/>
    </xf>
    <xf numFmtId="165" fontId="5" fillId="4" borderId="29" xfId="37" applyNumberFormat="1" applyFont="1" applyFill="1" applyBorder="1" applyAlignment="1">
      <alignment horizontal="right" vertical="top"/>
    </xf>
    <xf numFmtId="164" fontId="5" fillId="4" borderId="30" xfId="38" applyNumberFormat="1" applyFont="1" applyFill="1" applyBorder="1" applyAlignment="1">
      <alignment horizontal="right" vertical="top"/>
    </xf>
    <xf numFmtId="165" fontId="5" fillId="4" borderId="31" xfId="39" applyNumberFormat="1" applyFont="1" applyFill="1" applyBorder="1" applyAlignment="1">
      <alignment horizontal="right" vertical="top"/>
    </xf>
    <xf numFmtId="164" fontId="5" fillId="4" borderId="32" xfId="40" applyNumberFormat="1" applyFont="1" applyFill="1" applyBorder="1" applyAlignment="1">
      <alignment horizontal="right" vertical="top"/>
    </xf>
    <xf numFmtId="165" fontId="5" fillId="4" borderId="33" xfId="41" applyNumberFormat="1" applyFont="1" applyFill="1" applyBorder="1" applyAlignment="1">
      <alignment horizontal="right" vertical="top"/>
    </xf>
    <xf numFmtId="164" fontId="5" fillId="4" borderId="34" xfId="42" applyNumberFormat="1" applyFont="1" applyFill="1" applyBorder="1" applyAlignment="1">
      <alignment horizontal="right" vertical="top"/>
    </xf>
    <xf numFmtId="165" fontId="5" fillId="4" borderId="35" xfId="43" applyNumberFormat="1" applyFont="1" applyFill="1" applyBorder="1" applyAlignment="1">
      <alignment horizontal="right" vertical="top"/>
    </xf>
    <xf numFmtId="164" fontId="5" fillId="4" borderId="36" xfId="44" applyNumberFormat="1" applyFont="1" applyFill="1" applyBorder="1" applyAlignment="1">
      <alignment horizontal="right" vertical="top"/>
    </xf>
    <xf numFmtId="165" fontId="5" fillId="4" borderId="37" xfId="45" applyNumberFormat="1" applyFont="1" applyFill="1" applyBorder="1" applyAlignment="1">
      <alignment horizontal="right" vertical="top"/>
    </xf>
    <xf numFmtId="164" fontId="5" fillId="4" borderId="38" xfId="46" applyNumberFormat="1" applyFont="1" applyFill="1" applyBorder="1" applyAlignment="1">
      <alignment horizontal="right" vertical="top"/>
    </xf>
    <xf numFmtId="165" fontId="5" fillId="4" borderId="39" xfId="47" applyNumberFormat="1" applyFont="1" applyFill="1" applyBorder="1" applyAlignment="1">
      <alignment horizontal="right" vertical="top"/>
    </xf>
    <xf numFmtId="0" fontId="4" fillId="3" borderId="49" xfId="61" applyFont="1" applyFill="1" applyBorder="1" applyAlignment="1">
      <alignment horizontal="left" vertical="top" wrapText="1"/>
    </xf>
    <xf numFmtId="0" fontId="4" fillId="3" borderId="50" xfId="62" applyFont="1" applyFill="1" applyBorder="1" applyAlignment="1">
      <alignment horizontal="left" vertical="top" wrapText="1"/>
    </xf>
    <xf numFmtId="164" fontId="5" fillId="4" borderId="29" xfId="66" applyNumberFormat="1" applyFont="1" applyFill="1" applyBorder="1" applyAlignment="1">
      <alignment horizontal="right" vertical="top"/>
    </xf>
    <xf numFmtId="164" fontId="5" fillId="4" borderId="31" xfId="67" applyNumberFormat="1" applyFont="1" applyFill="1" applyBorder="1" applyAlignment="1">
      <alignment horizontal="right" vertical="top"/>
    </xf>
    <xf numFmtId="165" fontId="5" fillId="4" borderId="53" xfId="68" applyNumberFormat="1" applyFont="1" applyFill="1" applyBorder="1" applyAlignment="1">
      <alignment horizontal="right" vertical="top"/>
    </xf>
    <xf numFmtId="165" fontId="5" fillId="4" borderId="54" xfId="69" applyNumberFormat="1" applyFont="1" applyFill="1" applyBorder="1" applyAlignment="1">
      <alignment horizontal="right" vertical="top"/>
    </xf>
    <xf numFmtId="165" fontId="5" fillId="4" borderId="55" xfId="70" applyNumberFormat="1" applyFont="1" applyFill="1" applyBorder="1" applyAlignment="1">
      <alignment horizontal="right" vertical="top"/>
    </xf>
    <xf numFmtId="164" fontId="5" fillId="4" borderId="33" xfId="71" applyNumberFormat="1" applyFont="1" applyFill="1" applyBorder="1" applyAlignment="1">
      <alignment horizontal="right" vertical="top"/>
    </xf>
    <xf numFmtId="164" fontId="5" fillId="4" borderId="35" xfId="72" applyNumberFormat="1" applyFont="1" applyFill="1" applyBorder="1" applyAlignment="1">
      <alignment horizontal="right" vertical="top"/>
    </xf>
    <xf numFmtId="165" fontId="5" fillId="4" borderId="36" xfId="73" applyNumberFormat="1" applyFont="1" applyFill="1" applyBorder="1" applyAlignment="1">
      <alignment horizontal="right" vertical="top"/>
    </xf>
    <xf numFmtId="165" fontId="5" fillId="4" borderId="56" xfId="74" applyNumberFormat="1" applyFont="1" applyFill="1" applyBorder="1" applyAlignment="1">
      <alignment horizontal="right" vertical="top"/>
    </xf>
    <xf numFmtId="165" fontId="5" fillId="4" borderId="38" xfId="75" applyNumberFormat="1" applyFont="1" applyFill="1" applyBorder="1" applyAlignment="1">
      <alignment horizontal="right" vertical="top"/>
    </xf>
    <xf numFmtId="0" fontId="4" fillId="3" borderId="57" xfId="76" applyFont="1" applyFill="1" applyBorder="1" applyAlignment="1">
      <alignment horizontal="left" vertical="top" wrapText="1"/>
    </xf>
    <xf numFmtId="164" fontId="5" fillId="4" borderId="58" xfId="77" applyNumberFormat="1" applyFont="1" applyFill="1" applyBorder="1" applyAlignment="1">
      <alignment horizontal="right" vertical="top"/>
    </xf>
    <xf numFmtId="165" fontId="5" fillId="4" borderId="59" xfId="78" applyNumberFormat="1" applyFont="1" applyFill="1" applyBorder="1" applyAlignment="1">
      <alignment horizontal="right" vertical="top"/>
    </xf>
    <xf numFmtId="164" fontId="5" fillId="4" borderId="60" xfId="79" applyNumberFormat="1" applyFont="1" applyFill="1" applyBorder="1" applyAlignment="1">
      <alignment horizontal="right" vertical="top"/>
    </xf>
    <xf numFmtId="165" fontId="5" fillId="4" borderId="61" xfId="80" applyNumberFormat="1" applyFont="1" applyFill="1" applyBorder="1" applyAlignment="1">
      <alignment horizontal="right" vertical="top"/>
    </xf>
    <xf numFmtId="0" fontId="6" fillId="5" borderId="2" xfId="85" applyFont="1" applyFill="1" applyBorder="1" applyAlignment="1">
      <alignment horizontal="left" vertical="center" wrapText="1"/>
    </xf>
    <xf numFmtId="0" fontId="4" fillId="2" borderId="65" xfId="87" applyFont="1" applyFill="1" applyBorder="1" applyAlignment="1">
      <alignment horizontal="center" wrapText="1"/>
    </xf>
    <xf numFmtId="164" fontId="5" fillId="4" borderId="44" xfId="88" applyNumberFormat="1" applyFont="1" applyFill="1" applyBorder="1" applyAlignment="1">
      <alignment horizontal="right" vertical="top"/>
    </xf>
    <xf numFmtId="164" fontId="5" fillId="4" borderId="7" xfId="89" applyNumberFormat="1" applyFont="1" applyFill="1" applyBorder="1" applyAlignment="1">
      <alignment horizontal="right" vertical="top"/>
    </xf>
    <xf numFmtId="164" fontId="5" fillId="4" borderId="9" xfId="90" applyNumberFormat="1" applyFont="1" applyFill="1" applyBorder="1" applyAlignment="1">
      <alignment horizontal="right" vertical="top"/>
    </xf>
    <xf numFmtId="164" fontId="5" fillId="4" borderId="37" xfId="91" applyNumberFormat="1" applyFont="1" applyFill="1" applyBorder="1" applyAlignment="1">
      <alignment horizontal="right" vertical="top"/>
    </xf>
    <xf numFmtId="164" fontId="5" fillId="4" borderId="39" xfId="92" applyNumberFormat="1" applyFont="1" applyFill="1" applyBorder="1" applyAlignment="1">
      <alignment horizontal="right" vertical="top"/>
    </xf>
    <xf numFmtId="0" fontId="5" fillId="4" borderId="13" xfId="93" applyFont="1" applyFill="1" applyBorder="1" applyAlignment="1">
      <alignment horizontal="right" vertical="top"/>
    </xf>
    <xf numFmtId="0" fontId="4" fillId="2" borderId="68" xfId="96" applyFont="1" applyFill="1" applyBorder="1" applyAlignment="1">
      <alignment horizontal="center" wrapText="1"/>
    </xf>
    <xf numFmtId="0" fontId="4" fillId="2" borderId="69" xfId="97" applyFont="1" applyFill="1" applyBorder="1" applyAlignment="1">
      <alignment horizontal="center" wrapText="1"/>
    </xf>
    <xf numFmtId="0" fontId="4" fillId="2" borderId="70" xfId="98" applyFont="1" applyFill="1" applyBorder="1" applyAlignment="1">
      <alignment horizontal="center" wrapText="1"/>
    </xf>
    <xf numFmtId="0" fontId="4" fillId="2" borderId="71" xfId="99" applyFont="1" applyFill="1" applyBorder="1" applyAlignment="1">
      <alignment horizontal="center" wrapText="1"/>
    </xf>
    <xf numFmtId="166" fontId="5" fillId="4" borderId="30" xfId="100" applyNumberFormat="1" applyFont="1" applyFill="1" applyBorder="1" applyAlignment="1">
      <alignment horizontal="right" vertical="top"/>
    </xf>
    <xf numFmtId="166" fontId="5" fillId="4" borderId="29" xfId="101" applyNumberFormat="1" applyFont="1" applyFill="1" applyBorder="1" applyAlignment="1">
      <alignment horizontal="right" vertical="top"/>
    </xf>
    <xf numFmtId="166" fontId="5" fillId="4" borderId="31" xfId="102" applyNumberFormat="1" applyFont="1" applyFill="1" applyBorder="1" applyAlignment="1">
      <alignment horizontal="right" vertical="top"/>
    </xf>
    <xf numFmtId="166" fontId="5" fillId="4" borderId="34" xfId="103" applyNumberFormat="1" applyFont="1" applyFill="1" applyBorder="1" applyAlignment="1">
      <alignment horizontal="right" vertical="top"/>
    </xf>
    <xf numFmtId="166" fontId="5" fillId="4" borderId="33" xfId="104" applyNumberFormat="1" applyFont="1" applyFill="1" applyBorder="1" applyAlignment="1">
      <alignment horizontal="right" vertical="top"/>
    </xf>
    <xf numFmtId="166" fontId="5" fillId="4" borderId="35" xfId="105" applyNumberFormat="1" applyFont="1" applyFill="1" applyBorder="1" applyAlignment="1">
      <alignment horizontal="right" vertical="top"/>
    </xf>
    <xf numFmtId="166" fontId="5" fillId="4" borderId="38" xfId="106" applyNumberFormat="1" applyFont="1" applyFill="1" applyBorder="1" applyAlignment="1">
      <alignment horizontal="right" vertical="top"/>
    </xf>
    <xf numFmtId="166" fontId="5" fillId="4" borderId="37" xfId="107" applyNumberFormat="1" applyFont="1" applyFill="1" applyBorder="1" applyAlignment="1">
      <alignment horizontal="right" vertical="top"/>
    </xf>
    <xf numFmtId="0" fontId="5" fillId="4" borderId="39" xfId="108" applyFont="1" applyFill="1" applyBorder="1" applyAlignment="1">
      <alignment horizontal="left" vertical="top" wrapText="1"/>
    </xf>
    <xf numFmtId="0" fontId="5" fillId="4" borderId="35" xfId="109" applyFont="1" applyFill="1" applyBorder="1" applyAlignment="1">
      <alignment horizontal="left" vertical="top" wrapText="1"/>
    </xf>
    <xf numFmtId="0" fontId="5" fillId="4" borderId="33" xfId="110" applyFont="1" applyFill="1" applyBorder="1" applyAlignment="1">
      <alignment horizontal="left" vertical="top" wrapText="1"/>
    </xf>
    <xf numFmtId="0" fontId="5" fillId="4" borderId="37" xfId="111" applyFont="1" applyFill="1" applyBorder="1" applyAlignment="1">
      <alignment horizontal="left" vertical="top" wrapText="1"/>
    </xf>
    <xf numFmtId="0" fontId="3" fillId="2" borderId="1" xfId="6" applyFont="1" applyFill="1" applyBorder="1" applyAlignment="1">
      <alignment horizontal="center" vertical="center" wrapText="1"/>
    </xf>
    <xf numFmtId="0" fontId="3" fillId="2" borderId="3" xfId="4" applyFont="1" applyFill="1" applyBorder="1" applyAlignment="1">
      <alignment horizontal="center" vertical="center" wrapText="1"/>
    </xf>
    <xf numFmtId="0" fontId="3" fillId="2" borderId="4" xfId="5" applyFont="1" applyFill="1" applyBorder="1" applyAlignment="1">
      <alignment horizontal="center" vertical="center" wrapText="1"/>
    </xf>
    <xf numFmtId="0" fontId="4" fillId="3" borderId="5" xfId="7" applyFont="1" applyFill="1" applyBorder="1" applyAlignment="1">
      <alignment horizontal="left" vertical="top" wrapText="1"/>
    </xf>
    <xf numFmtId="0" fontId="4" fillId="3" borderId="6" xfId="8" applyFont="1" applyFill="1" applyBorder="1" applyAlignment="1">
      <alignment horizontal="left" vertical="top" wrapText="1"/>
    </xf>
    <xf numFmtId="0" fontId="4" fillId="3" borderId="7" xfId="9" applyFont="1" applyFill="1" applyBorder="1" applyAlignment="1">
      <alignment horizontal="left" vertical="top" wrapText="1"/>
    </xf>
    <xf numFmtId="0" fontId="4" fillId="3" borderId="8" xfId="10" applyFont="1" applyFill="1" applyBorder="1" applyAlignment="1">
      <alignment horizontal="left" vertical="top" wrapText="1"/>
    </xf>
    <xf numFmtId="0" fontId="4" fillId="3" borderId="9" xfId="11" applyFont="1" applyFill="1" applyBorder="1" applyAlignment="1">
      <alignment horizontal="left" vertical="top" wrapText="1"/>
    </xf>
    <xf numFmtId="0" fontId="4" fillId="2" borderId="14" xfId="18" applyFont="1" applyFill="1" applyBorder="1" applyAlignment="1">
      <alignment horizontal="left" wrapText="1"/>
    </xf>
    <xf numFmtId="0" fontId="4" fillId="2" borderId="15" xfId="19" applyFont="1" applyFill="1" applyBorder="1" applyAlignment="1">
      <alignment horizontal="left" wrapText="1"/>
    </xf>
    <xf numFmtId="0" fontId="4" fillId="2" borderId="16" xfId="20" applyFont="1" applyFill="1" applyBorder="1" applyAlignment="1">
      <alignment horizontal="left" wrapText="1"/>
    </xf>
    <xf numFmtId="0" fontId="4" fillId="2" borderId="17" xfId="21" applyFont="1" applyFill="1" applyBorder="1" applyAlignment="1">
      <alignment horizontal="center" wrapText="1"/>
    </xf>
    <xf numFmtId="0" fontId="4" fillId="2" borderId="18" xfId="22" applyFont="1" applyFill="1" applyBorder="1" applyAlignment="1">
      <alignment horizontal="center" wrapText="1"/>
    </xf>
    <xf numFmtId="0" fontId="4" fillId="2" borderId="19" xfId="23" applyFont="1" applyFill="1" applyBorder="1" applyAlignment="1">
      <alignment horizontal="center" wrapText="1"/>
    </xf>
    <xf numFmtId="0" fontId="4" fillId="2" borderId="21" xfId="26" applyFont="1" applyFill="1" applyBorder="1" applyAlignment="1">
      <alignment horizontal="center" wrapText="1"/>
    </xf>
    <xf numFmtId="0" fontId="4" fillId="2" borderId="20" xfId="25" applyFont="1" applyFill="1" applyBorder="1" applyAlignment="1">
      <alignment horizontal="center" wrapText="1"/>
    </xf>
    <xf numFmtId="0" fontId="4" fillId="2" borderId="22" xfId="28" applyFont="1" applyFill="1" applyBorder="1" applyAlignment="1">
      <alignment horizontal="center" wrapText="1"/>
    </xf>
    <xf numFmtId="0" fontId="4" fillId="2" borderId="2" xfId="48" applyFont="1" applyFill="1" applyBorder="1" applyAlignment="1">
      <alignment horizontal="left" wrapText="1"/>
    </xf>
    <xf numFmtId="0" fontId="4" fillId="2" borderId="3" xfId="49" applyFont="1" applyFill="1" applyBorder="1" applyAlignment="1">
      <alignment horizontal="left" wrapText="1"/>
    </xf>
    <xf numFmtId="0" fontId="4" fillId="2" borderId="4" xfId="50" applyFont="1" applyFill="1" applyBorder="1" applyAlignment="1">
      <alignment horizontal="left" wrapText="1"/>
    </xf>
    <xf numFmtId="0" fontId="4" fillId="2" borderId="40" xfId="51" applyFont="1" applyFill="1" applyBorder="1" applyAlignment="1">
      <alignment horizontal="left" wrapText="1"/>
    </xf>
    <xf numFmtId="0" fontId="4" fillId="2" borderId="41" xfId="52" applyFont="1" applyFill="1" applyBorder="1" applyAlignment="1">
      <alignment horizontal="left" wrapText="1"/>
    </xf>
    <xf numFmtId="0" fontId="4" fillId="2" borderId="42" xfId="53" applyFont="1" applyFill="1" applyBorder="1" applyAlignment="1">
      <alignment horizontal="left" wrapText="1"/>
    </xf>
    <xf numFmtId="0" fontId="4" fillId="2" borderId="43" xfId="54" applyFont="1" applyFill="1" applyBorder="1" applyAlignment="1">
      <alignment horizontal="center" wrapText="1"/>
    </xf>
    <xf numFmtId="0" fontId="4" fillId="2" borderId="26" xfId="32" applyFont="1" applyFill="1" applyBorder="1" applyAlignment="1">
      <alignment horizontal="center" wrapText="1"/>
    </xf>
    <xf numFmtId="0" fontId="4" fillId="3" borderId="46" xfId="57" applyFont="1" applyFill="1" applyBorder="1" applyAlignment="1">
      <alignment horizontal="left" vertical="top" wrapText="1"/>
    </xf>
    <xf numFmtId="0" fontId="4" fillId="3" borderId="45" xfId="56" applyFont="1" applyFill="1" applyBorder="1" applyAlignment="1">
      <alignment horizontal="left" vertical="top" wrapText="1"/>
    </xf>
    <xf numFmtId="0" fontId="4" fillId="3" borderId="48" xfId="60" applyFont="1" applyFill="1" applyBorder="1" applyAlignment="1">
      <alignment horizontal="left" vertical="top"/>
    </xf>
    <xf numFmtId="0" fontId="4" fillId="3" borderId="47" xfId="59" applyFont="1" applyFill="1" applyBorder="1" applyAlignment="1">
      <alignment horizontal="left" vertical="top" wrapText="1"/>
    </xf>
    <xf numFmtId="0" fontId="4" fillId="3" borderId="47" xfId="64" applyFont="1" applyFill="1" applyBorder="1" applyAlignment="1">
      <alignment horizontal="left" vertical="top"/>
    </xf>
    <xf numFmtId="0" fontId="4" fillId="3" borderId="51" xfId="63" applyFont="1" applyFill="1" applyBorder="1" applyAlignment="1">
      <alignment horizontal="left" vertical="top" wrapText="1"/>
    </xf>
    <xf numFmtId="0" fontId="4" fillId="3" borderId="52" xfId="65" applyFont="1" applyFill="1" applyBorder="1" applyAlignment="1">
      <alignment horizontal="left" vertical="top" wrapText="1"/>
    </xf>
    <xf numFmtId="0" fontId="5" fillId="2" borderId="1" xfId="84" applyFont="1" applyFill="1" applyBorder="1" applyAlignment="1">
      <alignment horizontal="left" vertical="top" wrapText="1"/>
    </xf>
    <xf numFmtId="0" fontId="5" fillId="2" borderId="62" xfId="82" applyFont="1" applyFill="1" applyBorder="1" applyAlignment="1">
      <alignment horizontal="left" vertical="top" wrapText="1"/>
    </xf>
    <xf numFmtId="0" fontId="5" fillId="2" borderId="63" xfId="83" applyFont="1" applyFill="1" applyBorder="1" applyAlignment="1">
      <alignment horizontal="left" vertical="top" wrapText="1"/>
    </xf>
    <xf numFmtId="0" fontId="4" fillId="2" borderId="64" xfId="86" applyFont="1" applyFill="1" applyBorder="1" applyAlignment="1">
      <alignment horizontal="center" wrapText="1"/>
    </xf>
    <xf numFmtId="0" fontId="4" fillId="3" borderId="44" xfId="55" applyFont="1" applyFill="1" applyBorder="1" applyAlignment="1">
      <alignment horizontal="left" vertical="top" wrapText="1"/>
    </xf>
    <xf numFmtId="0" fontId="4" fillId="3" borderId="10" xfId="12" applyFont="1" applyFill="1" applyBorder="1" applyAlignment="1">
      <alignment horizontal="left" vertical="top" wrapText="1"/>
    </xf>
    <xf numFmtId="0" fontId="4" fillId="2" borderId="66" xfId="94" applyFont="1" applyFill="1" applyBorder="1" applyAlignment="1">
      <alignment horizontal="left" wrapText="1"/>
    </xf>
    <xf numFmtId="0" fontId="4" fillId="2" borderId="67" xfId="95" applyFont="1" applyFill="1" applyBorder="1" applyAlignment="1">
      <alignment horizontal="left" wrapText="1"/>
    </xf>
    <xf numFmtId="9" fontId="0" fillId="0" borderId="0" xfId="112" applyFont="1"/>
    <xf numFmtId="167" fontId="0" fillId="0" borderId="0" xfId="112" applyNumberFormat="1" applyFont="1"/>
    <xf numFmtId="164" fontId="0" fillId="0" borderId="0" xfId="0" applyNumberFormat="1"/>
  </cellXfs>
  <cellStyles count="113">
    <cellStyle name="Normal" xfId="0" builtinId="0"/>
    <cellStyle name="Percent" xfId="112" builtinId="5"/>
    <cellStyle name="style1776185222834" xfId="1" xr:uid="{00000000-0005-0000-0000-000001000000}"/>
    <cellStyle name="style1776185222886" xfId="2" xr:uid="{00000000-0005-0000-0000-000002000000}"/>
    <cellStyle name="style1776185222917" xfId="3" xr:uid="{00000000-0005-0000-0000-000003000000}"/>
    <cellStyle name="style1776185222961" xfId="4" xr:uid="{00000000-0005-0000-0000-000004000000}"/>
    <cellStyle name="style1776185222993" xfId="5" xr:uid="{00000000-0005-0000-0000-000005000000}"/>
    <cellStyle name="style1776185223025" xfId="6" xr:uid="{00000000-0005-0000-0000-000006000000}"/>
    <cellStyle name="style1776185223042" xfId="7" xr:uid="{00000000-0005-0000-0000-000007000000}"/>
    <cellStyle name="style1776185223088" xfId="8" xr:uid="{00000000-0005-0000-0000-000008000000}"/>
    <cellStyle name="style1776185223120" xfId="9" xr:uid="{00000000-0005-0000-0000-000009000000}"/>
    <cellStyle name="style1776185223151" xfId="10" xr:uid="{00000000-0005-0000-0000-00000A000000}"/>
    <cellStyle name="style1776185223183" xfId="11" xr:uid="{00000000-0005-0000-0000-00000B000000}"/>
    <cellStyle name="style1776185223231" xfId="12" xr:uid="{00000000-0005-0000-0000-00000C000000}"/>
    <cellStyle name="style1776185223278" xfId="13" xr:uid="{00000000-0005-0000-0000-00000D000000}"/>
    <cellStyle name="style1776185223326" xfId="14" xr:uid="{00000000-0005-0000-0000-00000E000000}"/>
    <cellStyle name="style1776185223358" xfId="15" xr:uid="{00000000-0005-0000-0000-00000F000000}"/>
    <cellStyle name="style1776185223386" xfId="16" xr:uid="{00000000-0005-0000-0000-000010000000}"/>
    <cellStyle name="style1776185223405" xfId="17" xr:uid="{00000000-0005-0000-0000-000011000000}"/>
    <cellStyle name="style1776185223437" xfId="18" xr:uid="{00000000-0005-0000-0000-000012000000}"/>
    <cellStyle name="style1776185223484" xfId="19" xr:uid="{00000000-0005-0000-0000-000013000000}"/>
    <cellStyle name="style1776185223516" xfId="20" xr:uid="{00000000-0005-0000-0000-000014000000}"/>
    <cellStyle name="style1776185223548" xfId="21" xr:uid="{00000000-0005-0000-0000-000015000000}"/>
    <cellStyle name="style1776185223579" xfId="22" xr:uid="{00000000-0005-0000-0000-000016000000}"/>
    <cellStyle name="style1776185223604" xfId="23" xr:uid="{00000000-0005-0000-0000-000017000000}"/>
    <cellStyle name="style1776185223636" xfId="24" xr:uid="{00000000-0005-0000-0000-000018000000}"/>
    <cellStyle name="style1776185223659" xfId="25" xr:uid="{00000000-0005-0000-0000-000019000000}"/>
    <cellStyle name="style1776185223691" xfId="26" xr:uid="{00000000-0005-0000-0000-00001A000000}"/>
    <cellStyle name="style1776185223707" xfId="27" xr:uid="{00000000-0005-0000-0000-00001B000000}"/>
    <cellStyle name="style1776185223739" xfId="28" xr:uid="{00000000-0005-0000-0000-00001C000000}"/>
    <cellStyle name="style1776185223770" xfId="29" xr:uid="{00000000-0005-0000-0000-00001D000000}"/>
    <cellStyle name="style1776185223792" xfId="30" xr:uid="{00000000-0005-0000-0000-00001E000000}"/>
    <cellStyle name="style1776185223823" xfId="31" xr:uid="{00000000-0005-0000-0000-00001F000000}"/>
    <cellStyle name="style1776185223854" xfId="32" xr:uid="{00000000-0005-0000-0000-000020000000}"/>
    <cellStyle name="style1776185223886" xfId="33" xr:uid="{00000000-0005-0000-0000-000021000000}"/>
    <cellStyle name="style1776185223917" xfId="34" xr:uid="{00000000-0005-0000-0000-000022000000}"/>
    <cellStyle name="style1776185223930" xfId="35" xr:uid="{00000000-0005-0000-0000-000023000000}"/>
    <cellStyle name="style1776185223961" xfId="36" xr:uid="{00000000-0005-0000-0000-000024000000}"/>
    <cellStyle name="style1776185223980" xfId="37" xr:uid="{00000000-0005-0000-0000-000025000000}"/>
    <cellStyle name="style1776185224011" xfId="38" xr:uid="{00000000-0005-0000-0000-000026000000}"/>
    <cellStyle name="style1776185224042" xfId="39" xr:uid="{00000000-0005-0000-0000-000027000000}"/>
    <cellStyle name="style1776185224073" xfId="40" xr:uid="{00000000-0005-0000-0000-000028000000}"/>
    <cellStyle name="style1776185224088" xfId="41" xr:uid="{00000000-0005-0000-0000-000029000000}"/>
    <cellStyle name="style1776185224120" xfId="42" xr:uid="{00000000-0005-0000-0000-00002A000000}"/>
    <cellStyle name="style1776185224151" xfId="43" xr:uid="{00000000-0005-0000-0000-00002B000000}"/>
    <cellStyle name="style1776185224179" xfId="44" xr:uid="{00000000-0005-0000-0000-00002C000000}"/>
    <cellStyle name="style1776185224198" xfId="45" xr:uid="{00000000-0005-0000-0000-00002D000000}"/>
    <cellStyle name="style1776185224229" xfId="46" xr:uid="{00000000-0005-0000-0000-00002E000000}"/>
    <cellStyle name="style1776185224261" xfId="47" xr:uid="{00000000-0005-0000-0000-00002F000000}"/>
    <cellStyle name="style1776185224279" xfId="48" xr:uid="{00000000-0005-0000-0000-000030000000}"/>
    <cellStyle name="style1776185224307" xfId="49" xr:uid="{00000000-0005-0000-0000-000031000000}"/>
    <cellStyle name="style1776185224323" xfId="50" xr:uid="{00000000-0005-0000-0000-000032000000}"/>
    <cellStyle name="style1776185224354" xfId="51" xr:uid="{00000000-0005-0000-0000-000033000000}"/>
    <cellStyle name="style1776185224379" xfId="52" xr:uid="{00000000-0005-0000-0000-000034000000}"/>
    <cellStyle name="style1776185224401" xfId="53" xr:uid="{00000000-0005-0000-0000-000035000000}"/>
    <cellStyle name="style1776185224433" xfId="54" xr:uid="{00000000-0005-0000-0000-000036000000}"/>
    <cellStyle name="style1776185224464" xfId="55" xr:uid="{00000000-0005-0000-0000-000037000000}"/>
    <cellStyle name="style1776185224495" xfId="56" xr:uid="{00000000-0005-0000-0000-000038000000}"/>
    <cellStyle name="style1776185224526" xfId="57" xr:uid="{00000000-0005-0000-0000-000039000000}"/>
    <cellStyle name="style1776185224557" xfId="58" xr:uid="{00000000-0005-0000-0000-00003A000000}"/>
    <cellStyle name="style1776185224573" xfId="59" xr:uid="{00000000-0005-0000-0000-00003B000000}"/>
    <cellStyle name="style1776185224604" xfId="60" xr:uid="{00000000-0005-0000-0000-00003C000000}"/>
    <cellStyle name="style1776185224636" xfId="61" xr:uid="{00000000-0005-0000-0000-00003D000000}"/>
    <cellStyle name="style1776185224667" xfId="62" xr:uid="{00000000-0005-0000-0000-00003E000000}"/>
    <cellStyle name="style1776185224683" xfId="63" xr:uid="{00000000-0005-0000-0000-00003F000000}"/>
    <cellStyle name="style1776185224715" xfId="64" xr:uid="{00000000-0005-0000-0000-000040000000}"/>
    <cellStyle name="style1776185224743" xfId="65" xr:uid="{00000000-0005-0000-0000-000041000000}"/>
    <cellStyle name="style1776185224763" xfId="66" xr:uid="{00000000-0005-0000-0000-000042000000}"/>
    <cellStyle name="style1776185224795" xfId="67" xr:uid="{00000000-0005-0000-0000-000043000000}"/>
    <cellStyle name="style1776185224811" xfId="68" xr:uid="{00000000-0005-0000-0000-000044000000}"/>
    <cellStyle name="style1776185224843" xfId="69" xr:uid="{00000000-0005-0000-0000-000045000000}"/>
    <cellStyle name="style1776185224874" xfId="70" xr:uid="{00000000-0005-0000-0000-000046000000}"/>
    <cellStyle name="style1776185224905" xfId="71" xr:uid="{00000000-0005-0000-0000-000047000000}"/>
    <cellStyle name="style1776185224937" xfId="72" xr:uid="{00000000-0005-0000-0000-000048000000}"/>
    <cellStyle name="style1776185224953" xfId="73" xr:uid="{00000000-0005-0000-0000-000049000000}"/>
    <cellStyle name="style1776185224985" xfId="74" xr:uid="{00000000-0005-0000-0000-00004A000000}"/>
    <cellStyle name="style1776185225032" xfId="75" xr:uid="{00000000-0005-0000-0000-00004B000000}"/>
    <cellStyle name="style1776185225127" xfId="76" xr:uid="{00000000-0005-0000-0000-00004C000000}"/>
    <cellStyle name="style1776185225190" xfId="77" xr:uid="{00000000-0005-0000-0000-00004D000000}"/>
    <cellStyle name="style1776185225254" xfId="78" xr:uid="{00000000-0005-0000-0000-00004E000000}"/>
    <cellStyle name="style1776185225302" xfId="79" xr:uid="{00000000-0005-0000-0000-00004F000000}"/>
    <cellStyle name="style1776185225343" xfId="80" xr:uid="{00000000-0005-0000-0000-000050000000}"/>
    <cellStyle name="style1776185225365" xfId="81" xr:uid="{00000000-0005-0000-0000-000051000000}"/>
    <cellStyle name="style1776185225417" xfId="82" xr:uid="{00000000-0005-0000-0000-000052000000}"/>
    <cellStyle name="style1776185225445" xfId="83" xr:uid="{00000000-0005-0000-0000-000053000000}"/>
    <cellStyle name="style1776185225479" xfId="84" xr:uid="{00000000-0005-0000-0000-000054000000}"/>
    <cellStyle name="style1776185225510" xfId="85" xr:uid="{00000000-0005-0000-0000-000055000000}"/>
    <cellStyle name="style1776185225524" xfId="86" xr:uid="{00000000-0005-0000-0000-000056000000}"/>
    <cellStyle name="style1776185225571" xfId="87" xr:uid="{00000000-0005-0000-0000-000057000000}"/>
    <cellStyle name="style1776185225604" xfId="88" xr:uid="{00000000-0005-0000-0000-000058000000}"/>
    <cellStyle name="style1776185225643" xfId="89" xr:uid="{00000000-0005-0000-0000-000059000000}"/>
    <cellStyle name="style1776185225667" xfId="90" xr:uid="{00000000-0005-0000-0000-00005A000000}"/>
    <cellStyle name="style1776185225698" xfId="91" xr:uid="{00000000-0005-0000-0000-00005B000000}"/>
    <cellStyle name="style1776185225714" xfId="92" xr:uid="{00000000-0005-0000-0000-00005C000000}"/>
    <cellStyle name="style1776185225745" xfId="93" xr:uid="{00000000-0005-0000-0000-00005D000000}"/>
    <cellStyle name="style1776185225761" xfId="94" xr:uid="{00000000-0005-0000-0000-00005E000000}"/>
    <cellStyle name="style1776185225792" xfId="95" xr:uid="{00000000-0005-0000-0000-00005F000000}"/>
    <cellStyle name="style1776185225823" xfId="96" xr:uid="{00000000-0005-0000-0000-000060000000}"/>
    <cellStyle name="style1776185225854" xfId="97" xr:uid="{00000000-0005-0000-0000-000061000000}"/>
    <cellStyle name="style1776185225870" xfId="98" xr:uid="{00000000-0005-0000-0000-000062000000}"/>
    <cellStyle name="style1776185225901" xfId="99" xr:uid="{00000000-0005-0000-0000-000063000000}"/>
    <cellStyle name="style1776185225943" xfId="100" xr:uid="{00000000-0005-0000-0000-000064000000}"/>
    <cellStyle name="style1776185225948" xfId="101" xr:uid="{00000000-0005-0000-0000-000065000000}"/>
    <cellStyle name="style1776185225979" xfId="102" xr:uid="{00000000-0005-0000-0000-000066000000}"/>
    <cellStyle name="style1776185225995" xfId="103" xr:uid="{00000000-0005-0000-0000-000067000000}"/>
    <cellStyle name="style1776185226011" xfId="104" xr:uid="{00000000-0005-0000-0000-000068000000}"/>
    <cellStyle name="style1776185226026" xfId="105" xr:uid="{00000000-0005-0000-0000-000069000000}"/>
    <cellStyle name="style1776185226058" xfId="106" xr:uid="{00000000-0005-0000-0000-00006A000000}"/>
    <cellStyle name="style1776185226074" xfId="107" xr:uid="{00000000-0005-0000-0000-00006B000000}"/>
    <cellStyle name="style1776185226090" xfId="108" xr:uid="{00000000-0005-0000-0000-00006C000000}"/>
    <cellStyle name="style1776185226137" xfId="109" xr:uid="{00000000-0005-0000-0000-00006D000000}"/>
    <cellStyle name="style1776185226153" xfId="110" xr:uid="{00000000-0005-0000-0000-00006E000000}"/>
    <cellStyle name="style1776185226198" xfId="111" xr:uid="{00000000-0005-0000-0000-00006F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30"/>
  <sheetViews>
    <sheetView tabSelected="1" topLeftCell="A212" workbookViewId="0">
      <selection activeCell="T89" sqref="T89"/>
    </sheetView>
  </sheetViews>
  <sheetFormatPr defaultRowHeight="15" x14ac:dyDescent="0.25"/>
  <cols>
    <col min="1" max="2" width="31" customWidth="1"/>
    <col min="3" max="3" width="30.7109375" customWidth="1"/>
    <col min="4" max="16" width="18.5703125" customWidth="1"/>
    <col min="17" max="17" width="14.7109375" customWidth="1"/>
    <col min="18" max="18" width="12.85546875" customWidth="1"/>
  </cols>
  <sheetData>
    <row r="1" spans="1:1" ht="15.75" x14ac:dyDescent="0.25">
      <c r="A1" s="1" t="s">
        <v>0</v>
      </c>
    </row>
    <row r="2" spans="1:1" ht="15.75" x14ac:dyDescent="0.25">
      <c r="A2" s="1" t="s">
        <v>1</v>
      </c>
    </row>
    <row r="3" spans="1:1" ht="15.75" x14ac:dyDescent="0.25">
      <c r="A3" s="1" t="s">
        <v>2</v>
      </c>
    </row>
    <row r="5" spans="1:1" ht="15.75" x14ac:dyDescent="0.25">
      <c r="A5" s="1" t="s">
        <v>3</v>
      </c>
    </row>
    <row r="7" spans="1:1" ht="15.75" x14ac:dyDescent="0.25">
      <c r="A7" s="1" t="s">
        <v>4</v>
      </c>
    </row>
    <row r="8" spans="1:1" ht="15.75" x14ac:dyDescent="0.25">
      <c r="A8" s="1" t="s">
        <v>5</v>
      </c>
    </row>
    <row r="11" spans="1:1" ht="15.75" x14ac:dyDescent="0.25">
      <c r="A11" s="1" t="s">
        <v>6</v>
      </c>
    </row>
    <row r="12" spans="1:1" ht="15.75" x14ac:dyDescent="0.25">
      <c r="A12" s="1" t="s">
        <v>7</v>
      </c>
    </row>
    <row r="13" spans="1:1" ht="15.75" x14ac:dyDescent="0.25">
      <c r="A13" s="1" t="s">
        <v>8</v>
      </c>
    </row>
    <row r="14" spans="1:1" ht="15.75" x14ac:dyDescent="0.25">
      <c r="A14" s="1" t="s">
        <v>9</v>
      </c>
    </row>
    <row r="15" spans="1:1" ht="15.75" x14ac:dyDescent="0.25">
      <c r="A15" s="1" t="s">
        <v>10</v>
      </c>
    </row>
    <row r="16" spans="1:1" ht="15.75" x14ac:dyDescent="0.25">
      <c r="A16" s="1" t="s">
        <v>11</v>
      </c>
    </row>
    <row r="17" spans="1:3" ht="15.75" x14ac:dyDescent="0.25">
      <c r="A17" s="1" t="s">
        <v>12</v>
      </c>
    </row>
    <row r="18" spans="1:3" ht="15.75" x14ac:dyDescent="0.25">
      <c r="A18" s="1" t="s">
        <v>13</v>
      </c>
    </row>
    <row r="20" spans="1:3" ht="15.75" x14ac:dyDescent="0.25">
      <c r="A20" s="1" t="s">
        <v>14</v>
      </c>
    </row>
    <row r="21" spans="1:3" ht="15.75" x14ac:dyDescent="0.25">
      <c r="A21" s="1" t="s">
        <v>15</v>
      </c>
    </row>
    <row r="22" spans="1:3" ht="15.75" x14ac:dyDescent="0.25">
      <c r="A22" s="1" t="s">
        <v>16</v>
      </c>
    </row>
    <row r="23" spans="1:3" ht="15.75" x14ac:dyDescent="0.25">
      <c r="A23" s="1" t="s">
        <v>17</v>
      </c>
    </row>
    <row r="24" spans="1:3" ht="15.75" x14ac:dyDescent="0.25">
      <c r="A24" s="1" t="s">
        <v>18</v>
      </c>
    </row>
    <row r="27" spans="1:3" ht="18" x14ac:dyDescent="0.25">
      <c r="A27" s="2" t="s">
        <v>19</v>
      </c>
    </row>
    <row r="29" spans="1:3" ht="24.95" customHeight="1" x14ac:dyDescent="0.25">
      <c r="A29" s="71" t="s">
        <v>20</v>
      </c>
      <c r="B29" s="72"/>
      <c r="C29" s="73"/>
    </row>
    <row r="30" spans="1:3" ht="20.100000000000001" customHeight="1" x14ac:dyDescent="0.25">
      <c r="A30" s="74" t="s">
        <v>21</v>
      </c>
      <c r="B30" s="75"/>
      <c r="C30" s="6" t="s">
        <v>22</v>
      </c>
    </row>
    <row r="31" spans="1:3" ht="20.100000000000001" customHeight="1" x14ac:dyDescent="0.25">
      <c r="A31" s="76" t="s">
        <v>23</v>
      </c>
      <c r="B31" s="77"/>
      <c r="C31" s="7" t="s">
        <v>24</v>
      </c>
    </row>
    <row r="32" spans="1:3" ht="93.95" customHeight="1" x14ac:dyDescent="0.25">
      <c r="A32" s="76" t="s">
        <v>25</v>
      </c>
      <c r="B32" s="4" t="s">
        <v>26</v>
      </c>
      <c r="C32" s="7" t="s">
        <v>27</v>
      </c>
    </row>
    <row r="33" spans="1:7" ht="20.100000000000001" customHeight="1" x14ac:dyDescent="0.25">
      <c r="A33" s="76"/>
      <c r="B33" s="4" t="s">
        <v>28</v>
      </c>
      <c r="C33" s="7" t="s">
        <v>29</v>
      </c>
    </row>
    <row r="34" spans="1:7" ht="59.1" customHeight="1" x14ac:dyDescent="0.25">
      <c r="A34" s="76"/>
      <c r="B34" s="4" t="s">
        <v>30</v>
      </c>
      <c r="C34" s="7" t="s">
        <v>31</v>
      </c>
    </row>
    <row r="35" spans="1:7" ht="20.100000000000001" customHeight="1" x14ac:dyDescent="0.25">
      <c r="A35" s="76"/>
      <c r="B35" s="4" t="s">
        <v>32</v>
      </c>
      <c r="C35" s="7" t="s">
        <v>33</v>
      </c>
    </row>
    <row r="36" spans="1:7" ht="20.100000000000001" customHeight="1" x14ac:dyDescent="0.25">
      <c r="A36" s="76"/>
      <c r="B36" s="4" t="s">
        <v>34</v>
      </c>
      <c r="C36" s="7" t="s">
        <v>33</v>
      </c>
    </row>
    <row r="37" spans="1:7" ht="39.950000000000003" customHeight="1" x14ac:dyDescent="0.25">
      <c r="A37" s="76"/>
      <c r="B37" s="4" t="s">
        <v>35</v>
      </c>
      <c r="C37" s="8">
        <v>4062</v>
      </c>
    </row>
    <row r="38" spans="1:7" ht="59.1" customHeight="1" x14ac:dyDescent="0.25">
      <c r="A38" s="76" t="s">
        <v>36</v>
      </c>
      <c r="B38" s="4" t="s">
        <v>37</v>
      </c>
      <c r="C38" s="7" t="s">
        <v>38</v>
      </c>
    </row>
    <row r="39" spans="1:7" ht="93.95" customHeight="1" x14ac:dyDescent="0.25">
      <c r="A39" s="76"/>
      <c r="B39" s="4" t="s">
        <v>39</v>
      </c>
      <c r="C39" s="7" t="s">
        <v>40</v>
      </c>
    </row>
    <row r="40" spans="1:7" ht="183" customHeight="1" x14ac:dyDescent="0.25">
      <c r="A40" s="76" t="s">
        <v>41</v>
      </c>
      <c r="B40" s="77"/>
      <c r="C40" s="7" t="s">
        <v>42</v>
      </c>
    </row>
    <row r="41" spans="1:7" ht="20.100000000000001" customHeight="1" x14ac:dyDescent="0.25">
      <c r="A41" s="76" t="s">
        <v>43</v>
      </c>
      <c r="B41" s="4" t="s">
        <v>44</v>
      </c>
      <c r="C41" s="9" t="s">
        <v>45</v>
      </c>
    </row>
    <row r="42" spans="1:7" ht="20.100000000000001" customHeight="1" x14ac:dyDescent="0.25">
      <c r="A42" s="76"/>
      <c r="B42" s="4" t="s">
        <v>46</v>
      </c>
      <c r="C42" s="9" t="s">
        <v>47</v>
      </c>
    </row>
    <row r="43" spans="1:7" ht="20.100000000000001" customHeight="1" x14ac:dyDescent="0.25">
      <c r="A43" s="76"/>
      <c r="B43" s="4" t="s">
        <v>48</v>
      </c>
      <c r="C43" s="8">
        <v>2</v>
      </c>
    </row>
    <row r="44" spans="1:7" ht="20.100000000000001" customHeight="1" x14ac:dyDescent="0.25">
      <c r="A44" s="78"/>
      <c r="B44" s="5" t="s">
        <v>49</v>
      </c>
      <c r="C44" s="10">
        <v>524245</v>
      </c>
    </row>
    <row r="46" spans="1:7" ht="24.95" customHeight="1" x14ac:dyDescent="0.25">
      <c r="A46" s="71" t="s">
        <v>50</v>
      </c>
      <c r="B46" s="72"/>
      <c r="C46" s="72"/>
      <c r="D46" s="72"/>
      <c r="E46" s="72"/>
      <c r="F46" s="72"/>
      <c r="G46" s="73"/>
    </row>
    <row r="47" spans="1:7" ht="18.95" customHeight="1" x14ac:dyDescent="0.25">
      <c r="A47" s="79" t="s">
        <v>24</v>
      </c>
      <c r="B47" s="82" t="s">
        <v>51</v>
      </c>
      <c r="C47" s="83"/>
      <c r="D47" s="83"/>
      <c r="E47" s="83"/>
      <c r="F47" s="83"/>
      <c r="G47" s="84"/>
    </row>
    <row r="48" spans="1:7" ht="18.95" customHeight="1" x14ac:dyDescent="0.25">
      <c r="A48" s="80"/>
      <c r="B48" s="85" t="s">
        <v>52</v>
      </c>
      <c r="C48" s="86"/>
      <c r="D48" s="86" t="s">
        <v>53</v>
      </c>
      <c r="E48" s="86"/>
      <c r="F48" s="86" t="s">
        <v>54</v>
      </c>
      <c r="G48" s="87"/>
    </row>
    <row r="49" spans="1:7" ht="18.95" customHeight="1" x14ac:dyDescent="0.25">
      <c r="A49" s="81"/>
      <c r="B49" s="11" t="s">
        <v>55</v>
      </c>
      <c r="C49" s="12" t="s">
        <v>56</v>
      </c>
      <c r="D49" s="13" t="s">
        <v>55</v>
      </c>
      <c r="E49" s="12" t="s">
        <v>56</v>
      </c>
      <c r="F49" s="13" t="s">
        <v>55</v>
      </c>
      <c r="G49" s="14" t="s">
        <v>56</v>
      </c>
    </row>
    <row r="50" spans="1:7" ht="77.099999999999994" customHeight="1" x14ac:dyDescent="0.25">
      <c r="A50" s="15" t="s">
        <v>57</v>
      </c>
      <c r="B50" s="18">
        <v>4062</v>
      </c>
      <c r="C50" s="19">
        <v>1</v>
      </c>
      <c r="D50" s="20">
        <v>0</v>
      </c>
      <c r="E50" s="19">
        <v>0</v>
      </c>
      <c r="F50" s="20">
        <v>4062</v>
      </c>
      <c r="G50" s="21">
        <v>1</v>
      </c>
    </row>
    <row r="51" spans="1:7" ht="20.100000000000001" customHeight="1" x14ac:dyDescent="0.25">
      <c r="A51" s="16" t="s">
        <v>58</v>
      </c>
      <c r="B51" s="22">
        <v>4061</v>
      </c>
      <c r="C51" s="23">
        <v>0.99975381585425893</v>
      </c>
      <c r="D51" s="24">
        <v>1</v>
      </c>
      <c r="E51" s="23">
        <v>2.461841457410143E-4</v>
      </c>
      <c r="F51" s="24">
        <v>4062</v>
      </c>
      <c r="G51" s="25">
        <v>1</v>
      </c>
    </row>
    <row r="52" spans="1:7" ht="20.100000000000001" customHeight="1" x14ac:dyDescent="0.25">
      <c r="A52" s="16" t="s">
        <v>59</v>
      </c>
      <c r="B52" s="22">
        <v>4062</v>
      </c>
      <c r="C52" s="23">
        <v>1</v>
      </c>
      <c r="D52" s="24">
        <v>0</v>
      </c>
      <c r="E52" s="23">
        <v>0</v>
      </c>
      <c r="F52" s="24">
        <v>4062</v>
      </c>
      <c r="G52" s="25">
        <v>1</v>
      </c>
    </row>
    <row r="53" spans="1:7" ht="20.100000000000001" customHeight="1" x14ac:dyDescent="0.25">
      <c r="A53" s="17" t="s">
        <v>60</v>
      </c>
      <c r="B53" s="26">
        <v>4062</v>
      </c>
      <c r="C53" s="27">
        <v>1</v>
      </c>
      <c r="D53" s="28">
        <v>0</v>
      </c>
      <c r="E53" s="27">
        <v>0</v>
      </c>
      <c r="F53" s="28">
        <v>4062</v>
      </c>
      <c r="G53" s="29">
        <v>1</v>
      </c>
    </row>
    <row r="55" spans="1:7" ht="48" customHeight="1" x14ac:dyDescent="0.25">
      <c r="A55" s="71" t="s">
        <v>61</v>
      </c>
      <c r="B55" s="72"/>
      <c r="C55" s="72"/>
      <c r="D55" s="72"/>
      <c r="E55" s="72"/>
      <c r="F55" s="73"/>
    </row>
    <row r="56" spans="1:7" ht="57" customHeight="1" x14ac:dyDescent="0.25">
      <c r="A56" s="88" t="s">
        <v>24</v>
      </c>
      <c r="B56" s="89"/>
      <c r="C56" s="90"/>
      <c r="D56" s="82" t="s">
        <v>62</v>
      </c>
      <c r="E56" s="94"/>
      <c r="F56" s="84" t="s">
        <v>54</v>
      </c>
    </row>
    <row r="57" spans="1:7" ht="111" customHeight="1" x14ac:dyDescent="0.25">
      <c r="A57" s="91"/>
      <c r="B57" s="92"/>
      <c r="C57" s="93"/>
      <c r="D57" s="11" t="s">
        <v>63</v>
      </c>
      <c r="E57" s="12" t="s">
        <v>64</v>
      </c>
      <c r="F57" s="95"/>
    </row>
    <row r="58" spans="1:7" ht="20.100000000000001" customHeight="1" x14ac:dyDescent="0.25">
      <c r="A58" s="96" t="s">
        <v>65</v>
      </c>
      <c r="B58" s="98" t="s">
        <v>66</v>
      </c>
      <c r="C58" s="30" t="s">
        <v>67</v>
      </c>
      <c r="D58" s="18">
        <v>1961</v>
      </c>
      <c r="E58" s="32">
        <v>532</v>
      </c>
      <c r="F58" s="33">
        <v>2493</v>
      </c>
    </row>
    <row r="59" spans="1:7" ht="20.100000000000001" customHeight="1" x14ac:dyDescent="0.25">
      <c r="A59" s="76"/>
      <c r="B59" s="99"/>
      <c r="C59" s="31" t="s">
        <v>68</v>
      </c>
      <c r="D59" s="34">
        <v>0.78660248696349777</v>
      </c>
      <c r="E59" s="35">
        <v>0.2133975130365022</v>
      </c>
      <c r="F59" s="36">
        <v>1</v>
      </c>
    </row>
    <row r="60" spans="1:7" ht="20.100000000000001" customHeight="1" x14ac:dyDescent="0.25">
      <c r="A60" s="76"/>
      <c r="B60" s="100" t="s">
        <v>69</v>
      </c>
      <c r="C60" s="4" t="s">
        <v>67</v>
      </c>
      <c r="D60" s="22">
        <v>1076</v>
      </c>
      <c r="E60" s="37">
        <v>493</v>
      </c>
      <c r="F60" s="38">
        <v>1569</v>
      </c>
    </row>
    <row r="61" spans="1:7" ht="20.100000000000001" customHeight="1" x14ac:dyDescent="0.25">
      <c r="A61" s="97"/>
      <c r="B61" s="99"/>
      <c r="C61" s="31" t="s">
        <v>68</v>
      </c>
      <c r="D61" s="34">
        <v>0.68578712555768007</v>
      </c>
      <c r="E61" s="35">
        <v>0.31421287444231993</v>
      </c>
      <c r="F61" s="36">
        <v>1</v>
      </c>
    </row>
    <row r="62" spans="1:7" ht="20.100000000000001" customHeight="1" x14ac:dyDescent="0.25">
      <c r="A62" s="97" t="s">
        <v>54</v>
      </c>
      <c r="B62" s="101"/>
      <c r="C62" s="4" t="s">
        <v>67</v>
      </c>
      <c r="D62" s="22">
        <v>3037</v>
      </c>
      <c r="E62" s="37">
        <v>1025</v>
      </c>
      <c r="F62" s="38">
        <v>4062</v>
      </c>
    </row>
    <row r="63" spans="1:7" ht="20.100000000000001" customHeight="1" x14ac:dyDescent="0.25">
      <c r="A63" s="78"/>
      <c r="B63" s="102"/>
      <c r="C63" s="5" t="s">
        <v>68</v>
      </c>
      <c r="D63" s="39">
        <v>0.74766125061546029</v>
      </c>
      <c r="E63" s="27">
        <v>0.25233874938453965</v>
      </c>
      <c r="F63" s="29">
        <v>1</v>
      </c>
    </row>
    <row r="65" spans="1:11" ht="24.95" customHeight="1" x14ac:dyDescent="0.25">
      <c r="A65" s="71" t="s">
        <v>70</v>
      </c>
      <c r="B65" s="72"/>
      <c r="C65" s="72"/>
      <c r="D65" s="72"/>
      <c r="E65" s="72"/>
      <c r="F65" s="72"/>
      <c r="G65" s="72"/>
      <c r="H65" s="73"/>
    </row>
    <row r="66" spans="1:11" ht="18.95" customHeight="1" x14ac:dyDescent="0.25">
      <c r="A66" s="88" t="s">
        <v>24</v>
      </c>
      <c r="B66" s="89"/>
      <c r="C66" s="90"/>
      <c r="D66" s="82" t="s">
        <v>71</v>
      </c>
      <c r="E66" s="94"/>
      <c r="F66" s="83"/>
      <c r="G66" s="94"/>
      <c r="H66" s="84" t="s">
        <v>54</v>
      </c>
    </row>
    <row r="67" spans="1:11" ht="18.95" customHeight="1" x14ac:dyDescent="0.25">
      <c r="A67" s="91"/>
      <c r="B67" s="92"/>
      <c r="C67" s="93"/>
      <c r="D67" s="11" t="s">
        <v>72</v>
      </c>
      <c r="E67" s="12" t="s">
        <v>73</v>
      </c>
      <c r="F67" s="13" t="s">
        <v>74</v>
      </c>
      <c r="G67" s="12" t="s">
        <v>75</v>
      </c>
      <c r="H67" s="95"/>
    </row>
    <row r="68" spans="1:11" ht="20.100000000000001" customHeight="1" x14ac:dyDescent="0.25">
      <c r="A68" s="96" t="s">
        <v>65</v>
      </c>
      <c r="B68" s="98" t="s">
        <v>66</v>
      </c>
      <c r="C68" s="30" t="s">
        <v>67</v>
      </c>
      <c r="D68" s="18">
        <v>348</v>
      </c>
      <c r="E68" s="32">
        <v>410</v>
      </c>
      <c r="F68" s="20">
        <v>930</v>
      </c>
      <c r="G68" s="32">
        <v>804</v>
      </c>
      <c r="H68" s="33">
        <v>2492</v>
      </c>
    </row>
    <row r="69" spans="1:11" ht="20.100000000000001" customHeight="1" x14ac:dyDescent="0.25">
      <c r="A69" s="76"/>
      <c r="B69" s="99"/>
      <c r="C69" s="31" t="s">
        <v>68</v>
      </c>
      <c r="D69" s="34">
        <v>0.13964686998394862</v>
      </c>
      <c r="E69" s="35">
        <v>0.16452648475120385</v>
      </c>
      <c r="F69" s="40">
        <v>0.37319422150882819</v>
      </c>
      <c r="G69" s="35">
        <v>0.32263242375601925</v>
      </c>
      <c r="H69" s="36">
        <v>1</v>
      </c>
    </row>
    <row r="70" spans="1:11" ht="20.100000000000001" customHeight="1" x14ac:dyDescent="0.25">
      <c r="A70" s="76"/>
      <c r="B70" s="100" t="s">
        <v>69</v>
      </c>
      <c r="C70" s="4" t="s">
        <v>67</v>
      </c>
      <c r="D70" s="22">
        <v>325</v>
      </c>
      <c r="E70" s="37">
        <v>321</v>
      </c>
      <c r="F70" s="24">
        <v>513</v>
      </c>
      <c r="G70" s="37">
        <v>410</v>
      </c>
      <c r="H70" s="38">
        <v>1569</v>
      </c>
    </row>
    <row r="71" spans="1:11" ht="20.100000000000001" customHeight="1" x14ac:dyDescent="0.25">
      <c r="A71" s="97"/>
      <c r="B71" s="99"/>
      <c r="C71" s="31" t="s">
        <v>68</v>
      </c>
      <c r="D71" s="34">
        <v>0.20713830465264502</v>
      </c>
      <c r="E71" s="35">
        <v>0.2045889101338432</v>
      </c>
      <c r="F71" s="40">
        <v>0.32695984703632885</v>
      </c>
      <c r="G71" s="35">
        <v>0.26131293817718293</v>
      </c>
      <c r="H71" s="36">
        <v>1</v>
      </c>
    </row>
    <row r="72" spans="1:11" ht="20.100000000000001" customHeight="1" x14ac:dyDescent="0.25">
      <c r="A72" s="97" t="s">
        <v>54</v>
      </c>
      <c r="B72" s="101"/>
      <c r="C72" s="4" t="s">
        <v>67</v>
      </c>
      <c r="D72" s="22">
        <v>673</v>
      </c>
      <c r="E72" s="37">
        <v>731</v>
      </c>
      <c r="F72" s="24">
        <v>1443</v>
      </c>
      <c r="G72" s="37">
        <v>1214</v>
      </c>
      <c r="H72" s="38">
        <v>4061</v>
      </c>
    </row>
    <row r="73" spans="1:11" ht="20.100000000000001" customHeight="1" x14ac:dyDescent="0.25">
      <c r="A73" s="78"/>
      <c r="B73" s="102"/>
      <c r="C73" s="5" t="s">
        <v>68</v>
      </c>
      <c r="D73" s="39">
        <v>0.16572272839202168</v>
      </c>
      <c r="E73" s="27">
        <v>0.18000492489534597</v>
      </c>
      <c r="F73" s="41">
        <v>0.35533119921201672</v>
      </c>
      <c r="G73" s="27">
        <v>0.29894114750061562</v>
      </c>
      <c r="H73" s="29">
        <v>1</v>
      </c>
    </row>
    <row r="75" spans="1:11" ht="24.95" customHeight="1" x14ac:dyDescent="0.25">
      <c r="A75" s="71" t="s">
        <v>76</v>
      </c>
      <c r="B75" s="72"/>
      <c r="C75" s="72"/>
      <c r="D75" s="72"/>
      <c r="E75" s="72"/>
      <c r="F75" s="72"/>
      <c r="G75" s="72"/>
      <c r="H75" s="72"/>
      <c r="I75" s="72"/>
      <c r="J75" s="72"/>
      <c r="K75" s="73"/>
    </row>
    <row r="76" spans="1:11" ht="18.95" customHeight="1" x14ac:dyDescent="0.25">
      <c r="A76" s="88" t="s">
        <v>24</v>
      </c>
      <c r="B76" s="89"/>
      <c r="C76" s="90"/>
      <c r="D76" s="82" t="s">
        <v>77</v>
      </c>
      <c r="E76" s="94"/>
      <c r="F76" s="83"/>
      <c r="G76" s="94"/>
      <c r="H76" s="83"/>
      <c r="I76" s="83"/>
      <c r="J76" s="83"/>
      <c r="K76" s="84" t="s">
        <v>54</v>
      </c>
    </row>
    <row r="77" spans="1:11" ht="57" customHeight="1" x14ac:dyDescent="0.25">
      <c r="A77" s="91"/>
      <c r="B77" s="92"/>
      <c r="C77" s="93"/>
      <c r="D77" s="11" t="s">
        <v>78</v>
      </c>
      <c r="E77" s="12" t="s">
        <v>79</v>
      </c>
      <c r="F77" s="13" t="s">
        <v>80</v>
      </c>
      <c r="G77" s="12" t="s">
        <v>81</v>
      </c>
      <c r="H77" s="13" t="s">
        <v>82</v>
      </c>
      <c r="I77" s="13" t="s">
        <v>83</v>
      </c>
      <c r="J77" s="13" t="s">
        <v>84</v>
      </c>
      <c r="K77" s="95"/>
    </row>
    <row r="78" spans="1:11" ht="20.100000000000001" customHeight="1" x14ac:dyDescent="0.25">
      <c r="A78" s="96" t="s">
        <v>65</v>
      </c>
      <c r="B78" s="98" t="s">
        <v>66</v>
      </c>
      <c r="C78" s="30" t="s">
        <v>67</v>
      </c>
      <c r="D78" s="18">
        <v>958</v>
      </c>
      <c r="E78" s="32">
        <v>29</v>
      </c>
      <c r="F78" s="20">
        <v>681</v>
      </c>
      <c r="G78" s="32">
        <v>649</v>
      </c>
      <c r="H78" s="20">
        <v>48</v>
      </c>
      <c r="I78" s="20">
        <v>126</v>
      </c>
      <c r="J78" s="20">
        <v>2</v>
      </c>
      <c r="K78" s="33">
        <v>2493</v>
      </c>
    </row>
    <row r="79" spans="1:11" ht="20.100000000000001" customHeight="1" x14ac:dyDescent="0.25">
      <c r="A79" s="76"/>
      <c r="B79" s="99"/>
      <c r="C79" s="31" t="s">
        <v>68</v>
      </c>
      <c r="D79" s="34">
        <v>0.38427597272362618</v>
      </c>
      <c r="E79" s="35">
        <v>1.1632571199358203E-2</v>
      </c>
      <c r="F79" s="40">
        <v>0.27316486161251502</v>
      </c>
      <c r="G79" s="35">
        <v>0.2603289209787405</v>
      </c>
      <c r="H79" s="40">
        <v>1.9253910950661854E-2</v>
      </c>
      <c r="I79" s="40">
        <v>5.0541516245487361E-2</v>
      </c>
      <c r="J79" s="40">
        <v>8.0224628961091051E-4</v>
      </c>
      <c r="K79" s="36">
        <v>1</v>
      </c>
    </row>
    <row r="80" spans="1:11" ht="20.100000000000001" customHeight="1" x14ac:dyDescent="0.25">
      <c r="A80" s="76"/>
      <c r="B80" s="100" t="s">
        <v>69</v>
      </c>
      <c r="C80" s="4" t="s">
        <v>67</v>
      </c>
      <c r="D80" s="22">
        <v>794</v>
      </c>
      <c r="E80" s="37">
        <v>75</v>
      </c>
      <c r="F80" s="24">
        <v>219</v>
      </c>
      <c r="G80" s="37">
        <v>354</v>
      </c>
      <c r="H80" s="24">
        <v>29</v>
      </c>
      <c r="I80" s="24">
        <v>98</v>
      </c>
      <c r="J80" s="24">
        <v>0</v>
      </c>
      <c r="K80" s="38">
        <v>1569</v>
      </c>
    </row>
    <row r="81" spans="1:20" ht="20.100000000000001" customHeight="1" x14ac:dyDescent="0.25">
      <c r="A81" s="97"/>
      <c r="B81" s="99"/>
      <c r="C81" s="31" t="s">
        <v>68</v>
      </c>
      <c r="D81" s="34">
        <v>0.50605481198215418</v>
      </c>
      <c r="E81" s="35">
        <v>4.780114722753346E-2</v>
      </c>
      <c r="F81" s="40">
        <v>0.13957934990439771</v>
      </c>
      <c r="G81" s="35">
        <v>0.22562141491395793</v>
      </c>
      <c r="H81" s="40">
        <v>1.8483110261312937E-2</v>
      </c>
      <c r="I81" s="40">
        <v>6.2460165710643716E-2</v>
      </c>
      <c r="J81" s="40">
        <v>0</v>
      </c>
      <c r="K81" s="36">
        <v>1</v>
      </c>
    </row>
    <row r="82" spans="1:20" ht="20.100000000000001" customHeight="1" x14ac:dyDescent="0.25">
      <c r="A82" s="97" t="s">
        <v>54</v>
      </c>
      <c r="B82" s="101"/>
      <c r="C82" s="4" t="s">
        <v>67</v>
      </c>
      <c r="D82" s="22">
        <v>1752</v>
      </c>
      <c r="E82" s="37">
        <v>104</v>
      </c>
      <c r="F82" s="24">
        <v>900</v>
      </c>
      <c r="G82" s="37">
        <v>1003</v>
      </c>
      <c r="H82" s="24">
        <v>77</v>
      </c>
      <c r="I82" s="24">
        <v>224</v>
      </c>
      <c r="J82" s="24">
        <v>2</v>
      </c>
      <c r="K82" s="38">
        <v>4062</v>
      </c>
    </row>
    <row r="83" spans="1:20" ht="20.100000000000001" customHeight="1" x14ac:dyDescent="0.25">
      <c r="A83" s="78"/>
      <c r="B83" s="102"/>
      <c r="C83" s="5" t="s">
        <v>68</v>
      </c>
      <c r="D83" s="39">
        <v>0.43131462333825704</v>
      </c>
      <c r="E83" s="27">
        <v>2.5603151157065483E-2</v>
      </c>
      <c r="F83" s="41">
        <v>0.22156573116691289</v>
      </c>
      <c r="G83" s="27">
        <v>0.24692269817823731</v>
      </c>
      <c r="H83" s="41">
        <v>1.8956179222058101E-2</v>
      </c>
      <c r="I83" s="41">
        <v>5.5145248645987195E-2</v>
      </c>
      <c r="J83" s="41">
        <v>4.9236829148202859E-4</v>
      </c>
      <c r="K83" s="29">
        <v>1</v>
      </c>
    </row>
    <row r="85" spans="1:20" ht="24.95" customHeight="1" x14ac:dyDescent="0.25">
      <c r="A85" s="71" t="s">
        <v>85</v>
      </c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3"/>
    </row>
    <row r="86" spans="1:20" ht="18.95" customHeight="1" x14ac:dyDescent="0.25">
      <c r="A86" s="88" t="s">
        <v>24</v>
      </c>
      <c r="B86" s="89"/>
      <c r="C86" s="90"/>
      <c r="D86" s="82" t="s">
        <v>86</v>
      </c>
      <c r="E86" s="94"/>
      <c r="F86" s="83"/>
      <c r="G86" s="94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4" t="s">
        <v>54</v>
      </c>
    </row>
    <row r="87" spans="1:20" ht="57" customHeight="1" x14ac:dyDescent="0.25">
      <c r="A87" s="91"/>
      <c r="B87" s="92"/>
      <c r="C87" s="93"/>
      <c r="D87" s="11" t="s">
        <v>87</v>
      </c>
      <c r="E87" s="12" t="s">
        <v>88</v>
      </c>
      <c r="F87" s="13" t="s">
        <v>89</v>
      </c>
      <c r="G87" s="12" t="s">
        <v>90</v>
      </c>
      <c r="H87" s="13" t="s">
        <v>91</v>
      </c>
      <c r="I87" s="13" t="s">
        <v>92</v>
      </c>
      <c r="J87" s="13" t="s">
        <v>93</v>
      </c>
      <c r="K87" s="13" t="s">
        <v>94</v>
      </c>
      <c r="L87" s="13" t="s">
        <v>95</v>
      </c>
      <c r="M87" s="13" t="s">
        <v>96</v>
      </c>
      <c r="N87" s="13" t="s">
        <v>97</v>
      </c>
      <c r="O87" s="13" t="s">
        <v>98</v>
      </c>
      <c r="P87" s="13" t="s">
        <v>99</v>
      </c>
      <c r="Q87" s="13" t="s">
        <v>100</v>
      </c>
      <c r="R87" s="95"/>
    </row>
    <row r="88" spans="1:20" ht="20.100000000000001" customHeight="1" x14ac:dyDescent="0.25">
      <c r="A88" s="96" t="s">
        <v>65</v>
      </c>
      <c r="B88" s="98" t="s">
        <v>66</v>
      </c>
      <c r="C88" s="30" t="s">
        <v>67</v>
      </c>
      <c r="D88" s="18">
        <v>175</v>
      </c>
      <c r="E88" s="32">
        <v>303</v>
      </c>
      <c r="F88" s="20">
        <v>0</v>
      </c>
      <c r="G88" s="32">
        <v>33</v>
      </c>
      <c r="H88" s="20">
        <v>0</v>
      </c>
      <c r="I88" s="20">
        <v>11</v>
      </c>
      <c r="J88" s="20">
        <v>6</v>
      </c>
      <c r="K88" s="20">
        <v>30</v>
      </c>
      <c r="L88" s="20">
        <v>9</v>
      </c>
      <c r="M88" s="20">
        <v>55</v>
      </c>
      <c r="N88" s="20">
        <v>2</v>
      </c>
      <c r="O88" s="20">
        <v>119</v>
      </c>
      <c r="P88" s="20">
        <v>0</v>
      </c>
      <c r="Q88" s="20">
        <v>1750</v>
      </c>
      <c r="R88" s="33">
        <v>2493</v>
      </c>
      <c r="S88" s="113">
        <f>R88-Q88</f>
        <v>743</v>
      </c>
      <c r="T88">
        <f>S88/R88</f>
        <v>0.29803449659045328</v>
      </c>
    </row>
    <row r="89" spans="1:20" ht="20.100000000000001" customHeight="1" x14ac:dyDescent="0.25">
      <c r="A89" s="76"/>
      <c r="B89" s="99"/>
      <c r="C89" s="31" t="s">
        <v>68</v>
      </c>
      <c r="D89" s="34">
        <v>7.0196550340954678E-2</v>
      </c>
      <c r="E89" s="35">
        <v>0.12154031287605296</v>
      </c>
      <c r="F89" s="40">
        <v>0</v>
      </c>
      <c r="G89" s="35">
        <v>1.3237063778580022E-2</v>
      </c>
      <c r="H89" s="40">
        <v>0</v>
      </c>
      <c r="I89" s="40">
        <v>4.4123545928600079E-3</v>
      </c>
      <c r="J89" s="40">
        <v>2.4067388688327317E-3</v>
      </c>
      <c r="K89" s="40">
        <v>1.2033694344163659E-2</v>
      </c>
      <c r="L89" s="40">
        <v>3.6101083032490976E-3</v>
      </c>
      <c r="M89" s="40">
        <v>2.2061772964300039E-2</v>
      </c>
      <c r="N89" s="40">
        <v>8.0224628961091051E-4</v>
      </c>
      <c r="O89" s="40">
        <v>4.7733654231849186E-2</v>
      </c>
      <c r="P89" s="40">
        <v>0</v>
      </c>
      <c r="Q89" s="40">
        <v>0.70196550340954678</v>
      </c>
      <c r="R89" s="36">
        <v>1</v>
      </c>
    </row>
    <row r="90" spans="1:20" ht="20.100000000000001" customHeight="1" x14ac:dyDescent="0.25">
      <c r="A90" s="76"/>
      <c r="B90" s="100" t="s">
        <v>69</v>
      </c>
      <c r="C90" s="4" t="s">
        <v>67</v>
      </c>
      <c r="D90" s="22">
        <v>0</v>
      </c>
      <c r="E90" s="37">
        <v>0</v>
      </c>
      <c r="F90" s="24">
        <v>293</v>
      </c>
      <c r="G90" s="37">
        <v>36</v>
      </c>
      <c r="H90" s="24">
        <v>149</v>
      </c>
      <c r="I90" s="24">
        <v>6</v>
      </c>
      <c r="J90" s="24">
        <v>24</v>
      </c>
      <c r="K90" s="24">
        <v>20</v>
      </c>
      <c r="L90" s="24">
        <v>10</v>
      </c>
      <c r="M90" s="24">
        <v>62</v>
      </c>
      <c r="N90" s="24">
        <v>2</v>
      </c>
      <c r="O90" s="24">
        <v>20</v>
      </c>
      <c r="P90" s="24">
        <v>1</v>
      </c>
      <c r="Q90" s="24">
        <v>946</v>
      </c>
      <c r="R90" s="38">
        <v>1569</v>
      </c>
      <c r="S90" s="113">
        <f>R90-Q90</f>
        <v>623</v>
      </c>
      <c r="T90">
        <f>S90/R90</f>
        <v>0.39706819630337797</v>
      </c>
    </row>
    <row r="91" spans="1:20" ht="20.100000000000001" customHeight="1" x14ac:dyDescent="0.25">
      <c r="A91" s="97"/>
      <c r="B91" s="99"/>
      <c r="C91" s="31" t="s">
        <v>68</v>
      </c>
      <c r="D91" s="34">
        <v>0</v>
      </c>
      <c r="E91" s="35">
        <v>0</v>
      </c>
      <c r="F91" s="40">
        <v>0.18674314850223073</v>
      </c>
      <c r="G91" s="35">
        <v>2.2944550669216062E-2</v>
      </c>
      <c r="H91" s="40">
        <v>9.4964945825366479E-2</v>
      </c>
      <c r="I91" s="40">
        <v>3.8240917782026767E-3</v>
      </c>
      <c r="J91" s="40">
        <v>1.5296367112810707E-2</v>
      </c>
      <c r="K91" s="40">
        <v>1.2746972594008922E-2</v>
      </c>
      <c r="L91" s="40">
        <v>6.3734862970044612E-3</v>
      </c>
      <c r="M91" s="40">
        <v>3.9515615041427664E-2</v>
      </c>
      <c r="N91" s="40">
        <v>1.2746972594008922E-3</v>
      </c>
      <c r="O91" s="40">
        <v>1.2746972594008922E-2</v>
      </c>
      <c r="P91" s="40">
        <v>6.3734862970044612E-4</v>
      </c>
      <c r="Q91" s="40">
        <v>0.60293180369662203</v>
      </c>
      <c r="R91" s="36">
        <v>1</v>
      </c>
    </row>
    <row r="92" spans="1:20" ht="20.100000000000001" customHeight="1" x14ac:dyDescent="0.25">
      <c r="A92" s="97" t="s">
        <v>54</v>
      </c>
      <c r="B92" s="101"/>
      <c r="C92" s="4" t="s">
        <v>67</v>
      </c>
      <c r="D92" s="22">
        <v>175</v>
      </c>
      <c r="E92" s="37">
        <v>303</v>
      </c>
      <c r="F92" s="24">
        <v>293</v>
      </c>
      <c r="G92" s="37">
        <v>69</v>
      </c>
      <c r="H92" s="24">
        <v>149</v>
      </c>
      <c r="I92" s="24">
        <v>17</v>
      </c>
      <c r="J92" s="24">
        <v>30</v>
      </c>
      <c r="K92" s="24">
        <v>50</v>
      </c>
      <c r="L92" s="24">
        <v>19</v>
      </c>
      <c r="M92" s="24">
        <v>117</v>
      </c>
      <c r="N92" s="24">
        <v>4</v>
      </c>
      <c r="O92" s="24">
        <v>139</v>
      </c>
      <c r="P92" s="24">
        <v>1</v>
      </c>
      <c r="Q92" s="24">
        <v>2696</v>
      </c>
      <c r="R92" s="38">
        <v>4062</v>
      </c>
      <c r="S92" s="113" t="s">
        <v>161</v>
      </c>
    </row>
    <row r="93" spans="1:20" ht="20.100000000000001" customHeight="1" x14ac:dyDescent="0.25">
      <c r="A93" s="78"/>
      <c r="B93" s="102"/>
      <c r="C93" s="5" t="s">
        <v>68</v>
      </c>
      <c r="D93" s="39">
        <v>4.3082225504677496E-2</v>
      </c>
      <c r="E93" s="27">
        <v>7.4593796159527326E-2</v>
      </c>
      <c r="F93" s="41">
        <v>7.2131954702117182E-2</v>
      </c>
      <c r="G93" s="27">
        <v>1.6986706056129987E-2</v>
      </c>
      <c r="H93" s="41">
        <v>3.668143771541113E-2</v>
      </c>
      <c r="I93" s="41">
        <v>4.1851304775972426E-3</v>
      </c>
      <c r="J93" s="41">
        <v>7.385524372230428E-3</v>
      </c>
      <c r="K93" s="41">
        <v>1.2309207287050714E-2</v>
      </c>
      <c r="L93" s="41">
        <v>4.6774987690792712E-3</v>
      </c>
      <c r="M93" s="41">
        <v>2.8803545051698669E-2</v>
      </c>
      <c r="N93" s="41">
        <v>9.8473658296405718E-4</v>
      </c>
      <c r="O93" s="41">
        <v>3.4219596258000987E-2</v>
      </c>
      <c r="P93" s="41">
        <v>2.461841457410143E-4</v>
      </c>
      <c r="Q93" s="41">
        <v>0.66371245691777447</v>
      </c>
      <c r="R93" s="29">
        <v>1</v>
      </c>
    </row>
    <row r="96" spans="1:20" ht="15.75" x14ac:dyDescent="0.25">
      <c r="A96" s="1" t="s">
        <v>101</v>
      </c>
    </row>
    <row r="97" spans="1:3" ht="15.75" x14ac:dyDescent="0.25">
      <c r="A97" s="1" t="s">
        <v>102</v>
      </c>
    </row>
    <row r="99" spans="1:3" ht="15.75" x14ac:dyDescent="0.25">
      <c r="A99" s="1" t="s">
        <v>14</v>
      </c>
    </row>
    <row r="100" spans="1:3" ht="15.75" x14ac:dyDescent="0.25">
      <c r="A100" s="1" t="s">
        <v>103</v>
      </c>
    </row>
    <row r="101" spans="1:3" ht="15.75" x14ac:dyDescent="0.25">
      <c r="A101" s="1" t="s">
        <v>16</v>
      </c>
    </row>
    <row r="102" spans="1:3" ht="15.75" x14ac:dyDescent="0.25">
      <c r="A102" s="1" t="s">
        <v>104</v>
      </c>
    </row>
    <row r="103" spans="1:3" ht="15.75" x14ac:dyDescent="0.25">
      <c r="A103" s="1" t="s">
        <v>18</v>
      </c>
    </row>
    <row r="106" spans="1:3" ht="18" x14ac:dyDescent="0.25">
      <c r="A106" s="2" t="s">
        <v>19</v>
      </c>
    </row>
    <row r="108" spans="1:3" ht="24.95" customHeight="1" x14ac:dyDescent="0.25">
      <c r="A108" s="71" t="s">
        <v>20</v>
      </c>
      <c r="B108" s="72"/>
      <c r="C108" s="73"/>
    </row>
    <row r="109" spans="1:3" ht="20.100000000000001" customHeight="1" x14ac:dyDescent="0.25">
      <c r="A109" s="74" t="s">
        <v>21</v>
      </c>
      <c r="B109" s="75"/>
      <c r="C109" s="6" t="s">
        <v>105</v>
      </c>
    </row>
    <row r="110" spans="1:3" ht="20.100000000000001" customHeight="1" x14ac:dyDescent="0.25">
      <c r="A110" s="76" t="s">
        <v>23</v>
      </c>
      <c r="B110" s="77"/>
      <c r="C110" s="7" t="s">
        <v>24</v>
      </c>
    </row>
    <row r="111" spans="1:3" ht="93.95" customHeight="1" x14ac:dyDescent="0.25">
      <c r="A111" s="76" t="s">
        <v>25</v>
      </c>
      <c r="B111" s="4" t="s">
        <v>26</v>
      </c>
      <c r="C111" s="7" t="s">
        <v>27</v>
      </c>
    </row>
    <row r="112" spans="1:3" ht="20.100000000000001" customHeight="1" x14ac:dyDescent="0.25">
      <c r="A112" s="76"/>
      <c r="B112" s="4" t="s">
        <v>28</v>
      </c>
      <c r="C112" s="7" t="s">
        <v>29</v>
      </c>
    </row>
    <row r="113" spans="1:7" ht="59.1" customHeight="1" x14ac:dyDescent="0.25">
      <c r="A113" s="76"/>
      <c r="B113" s="4" t="s">
        <v>30</v>
      </c>
      <c r="C113" s="7" t="s">
        <v>31</v>
      </c>
    </row>
    <row r="114" spans="1:7" ht="20.100000000000001" customHeight="1" x14ac:dyDescent="0.25">
      <c r="A114" s="76"/>
      <c r="B114" s="4" t="s">
        <v>32</v>
      </c>
      <c r="C114" s="7" t="s">
        <v>33</v>
      </c>
    </row>
    <row r="115" spans="1:7" ht="20.100000000000001" customHeight="1" x14ac:dyDescent="0.25">
      <c r="A115" s="76"/>
      <c r="B115" s="4" t="s">
        <v>34</v>
      </c>
      <c r="C115" s="7" t="s">
        <v>65</v>
      </c>
    </row>
    <row r="116" spans="1:7" ht="39.950000000000003" customHeight="1" x14ac:dyDescent="0.25">
      <c r="A116" s="76"/>
      <c r="B116" s="4" t="s">
        <v>35</v>
      </c>
      <c r="C116" s="8">
        <v>4062</v>
      </c>
    </row>
    <row r="117" spans="1:7" ht="59.1" customHeight="1" x14ac:dyDescent="0.25">
      <c r="A117" s="76" t="s">
        <v>36</v>
      </c>
      <c r="B117" s="4" t="s">
        <v>37</v>
      </c>
      <c r="C117" s="7" t="s">
        <v>38</v>
      </c>
    </row>
    <row r="118" spans="1:7" ht="93.95" customHeight="1" x14ac:dyDescent="0.25">
      <c r="A118" s="76"/>
      <c r="B118" s="4" t="s">
        <v>39</v>
      </c>
      <c r="C118" s="7" t="s">
        <v>40</v>
      </c>
    </row>
    <row r="119" spans="1:7" ht="147.94999999999999" customHeight="1" x14ac:dyDescent="0.25">
      <c r="A119" s="76" t="s">
        <v>41</v>
      </c>
      <c r="B119" s="77"/>
      <c r="C119" s="7" t="s">
        <v>106</v>
      </c>
    </row>
    <row r="120" spans="1:7" ht="20.100000000000001" customHeight="1" x14ac:dyDescent="0.25">
      <c r="A120" s="76" t="s">
        <v>43</v>
      </c>
      <c r="B120" s="4" t="s">
        <v>44</v>
      </c>
      <c r="C120" s="9" t="s">
        <v>107</v>
      </c>
    </row>
    <row r="121" spans="1:7" ht="20.100000000000001" customHeight="1" x14ac:dyDescent="0.25">
      <c r="A121" s="76"/>
      <c r="B121" s="4" t="s">
        <v>46</v>
      </c>
      <c r="C121" s="9" t="s">
        <v>108</v>
      </c>
    </row>
    <row r="122" spans="1:7" ht="20.100000000000001" customHeight="1" x14ac:dyDescent="0.25">
      <c r="A122" s="76"/>
      <c r="B122" s="4" t="s">
        <v>48</v>
      </c>
      <c r="C122" s="8">
        <v>2</v>
      </c>
    </row>
    <row r="123" spans="1:7" ht="20.100000000000001" customHeight="1" x14ac:dyDescent="0.25">
      <c r="A123" s="78"/>
      <c r="B123" s="5" t="s">
        <v>49</v>
      </c>
      <c r="C123" s="10">
        <v>524245</v>
      </c>
    </row>
    <row r="126" spans="1:7" ht="18" x14ac:dyDescent="0.25">
      <c r="A126" s="2" t="s">
        <v>109</v>
      </c>
    </row>
    <row r="128" spans="1:7" ht="27.95" customHeight="1" x14ac:dyDescent="0.25">
      <c r="A128" s="71" t="s">
        <v>110</v>
      </c>
      <c r="B128" s="72"/>
      <c r="C128" s="72"/>
      <c r="D128" s="72"/>
      <c r="E128" s="72"/>
      <c r="F128" s="72"/>
      <c r="G128" s="73"/>
    </row>
    <row r="129" spans="1:12" ht="18.95" customHeight="1" x14ac:dyDescent="0.25">
      <c r="A129" s="79" t="s">
        <v>24</v>
      </c>
      <c r="B129" s="82" t="s">
        <v>51</v>
      </c>
      <c r="C129" s="94"/>
      <c r="D129" s="83"/>
      <c r="E129" s="94"/>
      <c r="F129" s="83"/>
      <c r="G129" s="84"/>
    </row>
    <row r="130" spans="1:12" ht="18.95" customHeight="1" x14ac:dyDescent="0.25">
      <c r="A130" s="80"/>
      <c r="B130" s="85" t="s">
        <v>52</v>
      </c>
      <c r="C130" s="86"/>
      <c r="D130" s="86" t="s">
        <v>53</v>
      </c>
      <c r="E130" s="86"/>
      <c r="F130" s="86" t="s">
        <v>54</v>
      </c>
      <c r="G130" s="87"/>
    </row>
    <row r="131" spans="1:12" ht="18.95" customHeight="1" x14ac:dyDescent="0.25">
      <c r="A131" s="81"/>
      <c r="B131" s="11" t="s">
        <v>55</v>
      </c>
      <c r="C131" s="12" t="s">
        <v>56</v>
      </c>
      <c r="D131" s="13" t="s">
        <v>55</v>
      </c>
      <c r="E131" s="12" t="s">
        <v>56</v>
      </c>
      <c r="F131" s="13" t="s">
        <v>55</v>
      </c>
      <c r="G131" s="14" t="s">
        <v>56</v>
      </c>
    </row>
    <row r="132" spans="1:12" ht="39.950000000000003" customHeight="1" x14ac:dyDescent="0.25">
      <c r="A132" s="42" t="s">
        <v>111</v>
      </c>
      <c r="B132" s="43">
        <v>2492</v>
      </c>
      <c r="C132" s="44">
        <v>0.99959887685519466</v>
      </c>
      <c r="D132" s="45">
        <v>1</v>
      </c>
      <c r="E132" s="44">
        <v>4.0112314480545525E-4</v>
      </c>
      <c r="F132" s="45">
        <v>2493</v>
      </c>
      <c r="G132" s="46">
        <v>1</v>
      </c>
    </row>
    <row r="133" spans="1:12" ht="20.100000000000001" customHeight="1" x14ac:dyDescent="0.25">
      <c r="A133" s="103" t="s">
        <v>112</v>
      </c>
      <c r="B133" s="104"/>
      <c r="C133" s="104"/>
      <c r="D133" s="104"/>
      <c r="E133" s="104"/>
      <c r="F133" s="104"/>
      <c r="G133" s="105"/>
    </row>
    <row r="135" spans="1:12" ht="27.95" customHeight="1" x14ac:dyDescent="0.25">
      <c r="A135" s="71" t="s">
        <v>113</v>
      </c>
      <c r="B135" s="72"/>
      <c r="C135" s="72"/>
      <c r="D135" s="72"/>
      <c r="E135" s="72"/>
      <c r="F135" s="72"/>
      <c r="G135" s="72"/>
      <c r="H135" s="72"/>
      <c r="I135" s="72"/>
      <c r="J135" s="73"/>
    </row>
    <row r="136" spans="1:12" ht="18.95" customHeight="1" x14ac:dyDescent="0.25">
      <c r="A136" s="47" t="s">
        <v>67</v>
      </c>
    </row>
    <row r="137" spans="1:12" ht="18.95" customHeight="1" x14ac:dyDescent="0.25">
      <c r="A137" s="88" t="s">
        <v>24</v>
      </c>
      <c r="B137" s="90"/>
      <c r="C137" s="106" t="s">
        <v>77</v>
      </c>
      <c r="D137" s="83"/>
      <c r="E137" s="94"/>
      <c r="F137" s="83"/>
      <c r="G137" s="94"/>
      <c r="H137" s="83"/>
      <c r="I137" s="83"/>
      <c r="J137" s="84" t="s">
        <v>54</v>
      </c>
    </row>
    <row r="138" spans="1:12" ht="57" customHeight="1" x14ac:dyDescent="0.25">
      <c r="A138" s="91"/>
      <c r="B138" s="93"/>
      <c r="C138" s="48" t="s">
        <v>78</v>
      </c>
      <c r="D138" s="13" t="s">
        <v>79</v>
      </c>
      <c r="E138" s="12" t="s">
        <v>80</v>
      </c>
      <c r="F138" s="13" t="s">
        <v>81</v>
      </c>
      <c r="G138" s="12" t="s">
        <v>82</v>
      </c>
      <c r="H138" s="13" t="s">
        <v>83</v>
      </c>
      <c r="I138" s="13" t="s">
        <v>84</v>
      </c>
      <c r="J138" s="95"/>
    </row>
    <row r="139" spans="1:12" ht="20.100000000000001" customHeight="1" x14ac:dyDescent="0.25">
      <c r="A139" s="107" t="s">
        <v>71</v>
      </c>
      <c r="B139" s="30" t="s">
        <v>72</v>
      </c>
      <c r="C139" s="49">
        <v>348</v>
      </c>
      <c r="D139" s="20">
        <v>0</v>
      </c>
      <c r="E139" s="32">
        <v>0</v>
      </c>
      <c r="F139" s="20">
        <v>0</v>
      </c>
      <c r="G139" s="32">
        <v>0</v>
      </c>
      <c r="H139" s="20">
        <v>0</v>
      </c>
      <c r="I139" s="20">
        <v>0</v>
      </c>
      <c r="J139" s="33">
        <v>348</v>
      </c>
    </row>
    <row r="140" spans="1:12" ht="20.100000000000001" customHeight="1" x14ac:dyDescent="0.25">
      <c r="A140" s="76"/>
      <c r="B140" s="4" t="s">
        <v>73</v>
      </c>
      <c r="C140" s="50">
        <v>312</v>
      </c>
      <c r="D140" s="24">
        <v>2</v>
      </c>
      <c r="E140" s="37">
        <v>7</v>
      </c>
      <c r="F140" s="24">
        <v>84</v>
      </c>
      <c r="G140" s="37">
        <v>0</v>
      </c>
      <c r="H140" s="24">
        <v>5</v>
      </c>
      <c r="I140" s="24">
        <v>0</v>
      </c>
      <c r="J140" s="38">
        <v>410</v>
      </c>
    </row>
    <row r="141" spans="1:12" ht="20.100000000000001" customHeight="1" x14ac:dyDescent="0.25">
      <c r="A141" s="76"/>
      <c r="B141" s="4" t="s">
        <v>74</v>
      </c>
      <c r="C141" s="50">
        <v>212</v>
      </c>
      <c r="D141" s="24">
        <v>15</v>
      </c>
      <c r="E141" s="37">
        <v>255</v>
      </c>
      <c r="F141" s="24">
        <v>347</v>
      </c>
      <c r="G141" s="37">
        <v>6</v>
      </c>
      <c r="H141" s="24">
        <v>94</v>
      </c>
      <c r="I141" s="24">
        <v>1</v>
      </c>
      <c r="J141" s="38">
        <v>930</v>
      </c>
    </row>
    <row r="142" spans="1:12" ht="20.100000000000001" customHeight="1" x14ac:dyDescent="0.25">
      <c r="A142" s="76"/>
      <c r="B142" s="4" t="s">
        <v>75</v>
      </c>
      <c r="C142" s="50">
        <v>85</v>
      </c>
      <c r="D142" s="24">
        <v>12</v>
      </c>
      <c r="E142" s="37">
        <v>419</v>
      </c>
      <c r="F142" s="24">
        <v>218</v>
      </c>
      <c r="G142" s="37">
        <v>42</v>
      </c>
      <c r="H142" s="24">
        <v>27</v>
      </c>
      <c r="I142" s="24">
        <v>1</v>
      </c>
      <c r="J142" s="38">
        <v>804</v>
      </c>
      <c r="K142" s="112">
        <f>SUM(E142:I142)/J143</f>
        <v>0.28370786516853935</v>
      </c>
      <c r="L142" s="113">
        <f>SUM(D142:I142)</f>
        <v>719</v>
      </c>
    </row>
    <row r="143" spans="1:12" ht="20.100000000000001" customHeight="1" x14ac:dyDescent="0.25">
      <c r="A143" s="78" t="s">
        <v>54</v>
      </c>
      <c r="B143" s="108"/>
      <c r="C143" s="51">
        <v>957</v>
      </c>
      <c r="D143" s="28">
        <v>29</v>
      </c>
      <c r="E143" s="52">
        <v>681</v>
      </c>
      <c r="F143" s="28">
        <v>649</v>
      </c>
      <c r="G143" s="52">
        <v>48</v>
      </c>
      <c r="H143" s="28">
        <v>126</v>
      </c>
      <c r="I143" s="28">
        <v>2</v>
      </c>
      <c r="J143" s="53">
        <v>2492</v>
      </c>
    </row>
    <row r="144" spans="1:12" ht="20.100000000000001" customHeight="1" x14ac:dyDescent="0.25">
      <c r="A144" s="103" t="s">
        <v>112</v>
      </c>
      <c r="B144" s="104"/>
      <c r="C144" s="104"/>
      <c r="D144" s="104"/>
      <c r="E144" s="104"/>
      <c r="F144" s="104"/>
      <c r="G144" s="104"/>
      <c r="H144" s="104"/>
      <c r="I144" s="104"/>
      <c r="J144" s="105"/>
    </row>
    <row r="147" spans="1:9" ht="18" x14ac:dyDescent="0.25">
      <c r="A147" s="2" t="s">
        <v>114</v>
      </c>
    </row>
    <row r="149" spans="1:9" ht="27.95" customHeight="1" x14ac:dyDescent="0.25">
      <c r="A149" s="71" t="s">
        <v>110</v>
      </c>
      <c r="B149" s="72"/>
      <c r="C149" s="72"/>
      <c r="D149" s="72"/>
      <c r="E149" s="72"/>
      <c r="F149" s="72"/>
      <c r="G149" s="73"/>
    </row>
    <row r="150" spans="1:9" ht="18.95" customHeight="1" x14ac:dyDescent="0.25">
      <c r="A150" s="79" t="s">
        <v>24</v>
      </c>
      <c r="B150" s="82" t="s">
        <v>51</v>
      </c>
      <c r="C150" s="94"/>
      <c r="D150" s="83"/>
      <c r="E150" s="94"/>
      <c r="F150" s="83"/>
      <c r="G150" s="84"/>
    </row>
    <row r="151" spans="1:9" ht="18.95" customHeight="1" x14ac:dyDescent="0.25">
      <c r="A151" s="80"/>
      <c r="B151" s="85" t="s">
        <v>52</v>
      </c>
      <c r="C151" s="86"/>
      <c r="D151" s="86" t="s">
        <v>53</v>
      </c>
      <c r="E151" s="86"/>
      <c r="F151" s="86" t="s">
        <v>54</v>
      </c>
      <c r="G151" s="87"/>
    </row>
    <row r="152" spans="1:9" ht="18.95" customHeight="1" x14ac:dyDescent="0.25">
      <c r="A152" s="81"/>
      <c r="B152" s="11" t="s">
        <v>55</v>
      </c>
      <c r="C152" s="12" t="s">
        <v>56</v>
      </c>
      <c r="D152" s="13" t="s">
        <v>55</v>
      </c>
      <c r="E152" s="12" t="s">
        <v>56</v>
      </c>
      <c r="F152" s="13" t="s">
        <v>55</v>
      </c>
      <c r="G152" s="14" t="s">
        <v>56</v>
      </c>
    </row>
    <row r="153" spans="1:9" ht="39.950000000000003" customHeight="1" x14ac:dyDescent="0.25">
      <c r="A153" s="42" t="s">
        <v>111</v>
      </c>
      <c r="B153" s="43">
        <v>1569</v>
      </c>
      <c r="C153" s="44">
        <v>1</v>
      </c>
      <c r="D153" s="45">
        <v>0</v>
      </c>
      <c r="E153" s="44">
        <v>0</v>
      </c>
      <c r="F153" s="45">
        <v>1569</v>
      </c>
      <c r="G153" s="46">
        <v>1</v>
      </c>
    </row>
    <row r="154" spans="1:9" ht="20.100000000000001" customHeight="1" x14ac:dyDescent="0.25">
      <c r="A154" s="103" t="s">
        <v>115</v>
      </c>
      <c r="B154" s="104"/>
      <c r="C154" s="104"/>
      <c r="D154" s="104"/>
      <c r="E154" s="104"/>
      <c r="F154" s="104"/>
      <c r="G154" s="105"/>
    </row>
    <row r="156" spans="1:9" ht="27.95" customHeight="1" x14ac:dyDescent="0.25">
      <c r="A156" s="71" t="s">
        <v>113</v>
      </c>
      <c r="B156" s="72"/>
      <c r="C156" s="72"/>
      <c r="D156" s="72"/>
      <c r="E156" s="72"/>
      <c r="F156" s="72"/>
      <c r="G156" s="72"/>
      <c r="H156" s="72"/>
      <c r="I156" s="73"/>
    </row>
    <row r="157" spans="1:9" ht="18.95" customHeight="1" x14ac:dyDescent="0.25">
      <c r="A157" s="47" t="s">
        <v>67</v>
      </c>
    </row>
    <row r="158" spans="1:9" ht="18.95" customHeight="1" x14ac:dyDescent="0.25">
      <c r="A158" s="88" t="s">
        <v>24</v>
      </c>
      <c r="B158" s="90"/>
      <c r="C158" s="106" t="s">
        <v>77</v>
      </c>
      <c r="D158" s="83"/>
      <c r="E158" s="94"/>
      <c r="F158" s="83"/>
      <c r="G158" s="94"/>
      <c r="H158" s="83"/>
      <c r="I158" s="84" t="s">
        <v>54</v>
      </c>
    </row>
    <row r="159" spans="1:9" ht="57" customHeight="1" x14ac:dyDescent="0.25">
      <c r="A159" s="91"/>
      <c r="B159" s="93"/>
      <c r="C159" s="48" t="s">
        <v>78</v>
      </c>
      <c r="D159" s="13" t="s">
        <v>79</v>
      </c>
      <c r="E159" s="12" t="s">
        <v>80</v>
      </c>
      <c r="F159" s="13" t="s">
        <v>81</v>
      </c>
      <c r="G159" s="12" t="s">
        <v>82</v>
      </c>
      <c r="H159" s="13" t="s">
        <v>83</v>
      </c>
      <c r="I159" s="95"/>
    </row>
    <row r="160" spans="1:9" ht="20.100000000000001" customHeight="1" x14ac:dyDescent="0.25">
      <c r="A160" s="107" t="s">
        <v>71</v>
      </c>
      <c r="B160" s="30" t="s">
        <v>72</v>
      </c>
      <c r="C160" s="49">
        <v>325</v>
      </c>
      <c r="D160" s="20">
        <v>0</v>
      </c>
      <c r="E160" s="32">
        <v>0</v>
      </c>
      <c r="F160" s="20">
        <v>0</v>
      </c>
      <c r="G160" s="32">
        <v>0</v>
      </c>
      <c r="H160" s="20">
        <v>0</v>
      </c>
      <c r="I160" s="33">
        <v>325</v>
      </c>
    </row>
    <row r="161" spans="1:11" ht="20.100000000000001" customHeight="1" x14ac:dyDescent="0.25">
      <c r="A161" s="76"/>
      <c r="B161" s="4" t="s">
        <v>73</v>
      </c>
      <c r="C161" s="50">
        <v>229</v>
      </c>
      <c r="D161" s="24">
        <v>4</v>
      </c>
      <c r="E161" s="37">
        <v>1</v>
      </c>
      <c r="F161" s="24">
        <v>85</v>
      </c>
      <c r="G161" s="37">
        <v>0</v>
      </c>
      <c r="H161" s="24">
        <v>2</v>
      </c>
      <c r="I161" s="38">
        <v>321</v>
      </c>
    </row>
    <row r="162" spans="1:11" ht="20.100000000000001" customHeight="1" x14ac:dyDescent="0.25">
      <c r="A162" s="76"/>
      <c r="B162" s="4" t="s">
        <v>74</v>
      </c>
      <c r="C162" s="50">
        <v>162</v>
      </c>
      <c r="D162" s="24">
        <v>50</v>
      </c>
      <c r="E162" s="37">
        <v>103</v>
      </c>
      <c r="F162" s="24">
        <v>112</v>
      </c>
      <c r="G162" s="37">
        <v>9</v>
      </c>
      <c r="H162" s="24">
        <v>77</v>
      </c>
      <c r="I162" s="38">
        <v>513</v>
      </c>
    </row>
    <row r="163" spans="1:11" ht="20.100000000000001" customHeight="1" x14ac:dyDescent="0.25">
      <c r="A163" s="76"/>
      <c r="B163" s="4" t="s">
        <v>75</v>
      </c>
      <c r="C163" s="50">
        <v>78</v>
      </c>
      <c r="D163" s="24">
        <v>21</v>
      </c>
      <c r="E163" s="37">
        <v>115</v>
      </c>
      <c r="F163" s="24">
        <v>157</v>
      </c>
      <c r="G163" s="37">
        <v>20</v>
      </c>
      <c r="H163" s="24">
        <v>19</v>
      </c>
      <c r="I163" s="38">
        <v>410</v>
      </c>
      <c r="J163" s="111">
        <f>SUM(D163:H163)/I164</f>
        <v>0.21159974506054813</v>
      </c>
      <c r="K163" s="113">
        <f>SUM(D163:H163)</f>
        <v>332</v>
      </c>
    </row>
    <row r="164" spans="1:11" ht="20.100000000000001" customHeight="1" x14ac:dyDescent="0.25">
      <c r="A164" s="78" t="s">
        <v>54</v>
      </c>
      <c r="B164" s="108"/>
      <c r="C164" s="51">
        <v>794</v>
      </c>
      <c r="D164" s="28">
        <v>75</v>
      </c>
      <c r="E164" s="52">
        <v>219</v>
      </c>
      <c r="F164" s="28">
        <v>354</v>
      </c>
      <c r="G164" s="52">
        <v>29</v>
      </c>
      <c r="H164" s="28">
        <v>98</v>
      </c>
      <c r="I164" s="53">
        <v>1569</v>
      </c>
    </row>
    <row r="165" spans="1:11" ht="20.100000000000001" customHeight="1" x14ac:dyDescent="0.25">
      <c r="A165" s="103" t="s">
        <v>115</v>
      </c>
      <c r="B165" s="104"/>
      <c r="C165" s="104"/>
      <c r="D165" s="104"/>
      <c r="E165" s="104"/>
      <c r="F165" s="104"/>
      <c r="G165" s="104"/>
      <c r="H165" s="104"/>
      <c r="I165" s="105"/>
    </row>
    <row r="168" spans="1:11" ht="15.75" x14ac:dyDescent="0.25">
      <c r="A168" s="1" t="s">
        <v>116</v>
      </c>
    </row>
    <row r="170" spans="1:11" ht="15.75" x14ac:dyDescent="0.25">
      <c r="A170" s="1" t="s">
        <v>6</v>
      </c>
    </row>
    <row r="171" spans="1:11" ht="15.75" x14ac:dyDescent="0.25">
      <c r="A171" s="1" t="s">
        <v>7</v>
      </c>
    </row>
    <row r="172" spans="1:11" ht="15.75" x14ac:dyDescent="0.25">
      <c r="A172" s="1" t="s">
        <v>117</v>
      </c>
    </row>
    <row r="174" spans="1:11" ht="15.75" x14ac:dyDescent="0.25">
      <c r="A174" s="1" t="s">
        <v>118</v>
      </c>
    </row>
    <row r="175" spans="1:11" ht="15.75" x14ac:dyDescent="0.25">
      <c r="A175" s="1" t="s">
        <v>119</v>
      </c>
    </row>
    <row r="176" spans="1:11" ht="15.75" x14ac:dyDescent="0.25">
      <c r="A176" s="1" t="s">
        <v>120</v>
      </c>
    </row>
    <row r="177" spans="1:3" ht="15.75" x14ac:dyDescent="0.25">
      <c r="A177" s="1" t="s">
        <v>121</v>
      </c>
    </row>
    <row r="178" spans="1:3" ht="15.75" x14ac:dyDescent="0.25">
      <c r="A178" s="1" t="s">
        <v>9</v>
      </c>
    </row>
    <row r="179" spans="1:3" ht="15.75" x14ac:dyDescent="0.25">
      <c r="A179" s="1" t="s">
        <v>10</v>
      </c>
    </row>
    <row r="180" spans="1:3" ht="15.75" x14ac:dyDescent="0.25">
      <c r="A180" s="1" t="s">
        <v>11</v>
      </c>
    </row>
    <row r="181" spans="1:3" ht="15.75" x14ac:dyDescent="0.25">
      <c r="A181" s="1" t="s">
        <v>12</v>
      </c>
    </row>
    <row r="182" spans="1:3" ht="15.75" x14ac:dyDescent="0.25">
      <c r="A182" s="1" t="s">
        <v>13</v>
      </c>
    </row>
    <row r="184" spans="1:3" ht="15.75" x14ac:dyDescent="0.25">
      <c r="A184" s="1" t="s">
        <v>122</v>
      </c>
    </row>
    <row r="185" spans="1:3" ht="15.75" x14ac:dyDescent="0.25">
      <c r="A185" s="1" t="s">
        <v>123</v>
      </c>
    </row>
    <row r="187" spans="1:3" ht="15.75" x14ac:dyDescent="0.25">
      <c r="A187" s="1" t="s">
        <v>124</v>
      </c>
    </row>
    <row r="190" spans="1:3" ht="18" x14ac:dyDescent="0.25">
      <c r="A190" s="2" t="s">
        <v>125</v>
      </c>
    </row>
    <row r="192" spans="1:3" ht="24.95" customHeight="1" x14ac:dyDescent="0.25">
      <c r="A192" s="71" t="s">
        <v>20</v>
      </c>
      <c r="B192" s="72"/>
      <c r="C192" s="73"/>
    </row>
    <row r="193" spans="1:3" ht="20.100000000000001" customHeight="1" x14ac:dyDescent="0.25">
      <c r="A193" s="74" t="s">
        <v>21</v>
      </c>
      <c r="B193" s="75"/>
      <c r="C193" s="6" t="s">
        <v>126</v>
      </c>
    </row>
    <row r="194" spans="1:3" ht="20.100000000000001" customHeight="1" x14ac:dyDescent="0.25">
      <c r="A194" s="76" t="s">
        <v>23</v>
      </c>
      <c r="B194" s="77"/>
      <c r="C194" s="7" t="s">
        <v>24</v>
      </c>
    </row>
    <row r="195" spans="1:3" ht="93.95" customHeight="1" x14ac:dyDescent="0.25">
      <c r="A195" s="76" t="s">
        <v>25</v>
      </c>
      <c r="B195" s="4" t="s">
        <v>26</v>
      </c>
      <c r="C195" s="7" t="s">
        <v>27</v>
      </c>
    </row>
    <row r="196" spans="1:3" ht="20.100000000000001" customHeight="1" x14ac:dyDescent="0.25">
      <c r="A196" s="76"/>
      <c r="B196" s="4" t="s">
        <v>28</v>
      </c>
      <c r="C196" s="7" t="s">
        <v>29</v>
      </c>
    </row>
    <row r="197" spans="1:3" ht="59.1" customHeight="1" x14ac:dyDescent="0.25">
      <c r="A197" s="76"/>
      <c r="B197" s="4" t="s">
        <v>30</v>
      </c>
      <c r="C197" s="7" t="s">
        <v>31</v>
      </c>
    </row>
    <row r="198" spans="1:3" ht="20.100000000000001" customHeight="1" x14ac:dyDescent="0.25">
      <c r="A198" s="76"/>
      <c r="B198" s="4" t="s">
        <v>32</v>
      </c>
      <c r="C198" s="7" t="s">
        <v>33</v>
      </c>
    </row>
    <row r="199" spans="1:3" ht="59.1" customHeight="1" x14ac:dyDescent="0.25">
      <c r="A199" s="76"/>
      <c r="B199" s="4" t="s">
        <v>34</v>
      </c>
      <c r="C199" s="7" t="s">
        <v>62</v>
      </c>
    </row>
    <row r="200" spans="1:3" ht="39.950000000000003" customHeight="1" x14ac:dyDescent="0.25">
      <c r="A200" s="76"/>
      <c r="B200" s="4" t="s">
        <v>35</v>
      </c>
      <c r="C200" s="8">
        <v>4062</v>
      </c>
    </row>
    <row r="201" spans="1:3" ht="59.1" customHeight="1" x14ac:dyDescent="0.25">
      <c r="A201" s="76" t="s">
        <v>36</v>
      </c>
      <c r="B201" s="4" t="s">
        <v>37</v>
      </c>
      <c r="C201" s="7" t="s">
        <v>38</v>
      </c>
    </row>
    <row r="202" spans="1:3" ht="39.950000000000003" customHeight="1" x14ac:dyDescent="0.25">
      <c r="A202" s="76"/>
      <c r="B202" s="4" t="s">
        <v>39</v>
      </c>
      <c r="C202" s="7" t="s">
        <v>127</v>
      </c>
    </row>
    <row r="203" spans="1:3" ht="93.95" customHeight="1" x14ac:dyDescent="0.25">
      <c r="A203" s="76" t="s">
        <v>41</v>
      </c>
      <c r="B203" s="77"/>
      <c r="C203" s="7" t="s">
        <v>124</v>
      </c>
    </row>
    <row r="204" spans="1:3" ht="20.100000000000001" customHeight="1" x14ac:dyDescent="0.25">
      <c r="A204" s="76" t="s">
        <v>43</v>
      </c>
      <c r="B204" s="4" t="s">
        <v>44</v>
      </c>
      <c r="C204" s="9" t="s">
        <v>128</v>
      </c>
    </row>
    <row r="205" spans="1:3" ht="20.100000000000001" customHeight="1" x14ac:dyDescent="0.25">
      <c r="A205" s="78"/>
      <c r="B205" s="5" t="s">
        <v>46</v>
      </c>
      <c r="C205" s="54" t="s">
        <v>129</v>
      </c>
    </row>
    <row r="208" spans="1:3" ht="18" x14ac:dyDescent="0.25">
      <c r="A208" s="2" t="s">
        <v>130</v>
      </c>
    </row>
    <row r="210" spans="1:7" ht="27.95" customHeight="1" x14ac:dyDescent="0.25">
      <c r="A210" s="71" t="s">
        <v>131</v>
      </c>
      <c r="B210" s="72"/>
      <c r="C210" s="72"/>
      <c r="D210" s="72"/>
      <c r="E210" s="72"/>
      <c r="F210" s="72"/>
      <c r="G210" s="73"/>
    </row>
    <row r="211" spans="1:7" ht="36" customHeight="1" x14ac:dyDescent="0.25">
      <c r="A211" s="109" t="s">
        <v>24</v>
      </c>
      <c r="B211" s="110"/>
      <c r="C211" s="55" t="s">
        <v>132</v>
      </c>
      <c r="D211" s="56" t="s">
        <v>133</v>
      </c>
      <c r="E211" s="57" t="s">
        <v>71</v>
      </c>
      <c r="F211" s="56" t="s">
        <v>77</v>
      </c>
      <c r="G211" s="58" t="s">
        <v>134</v>
      </c>
    </row>
    <row r="212" spans="1:7" ht="20.100000000000001" customHeight="1" x14ac:dyDescent="0.25">
      <c r="A212" s="107" t="s">
        <v>55</v>
      </c>
      <c r="B212" s="30" t="s">
        <v>52</v>
      </c>
      <c r="C212" s="49">
        <v>3037</v>
      </c>
      <c r="D212" s="20">
        <v>3037</v>
      </c>
      <c r="E212" s="32">
        <v>3037</v>
      </c>
      <c r="F212" s="20">
        <v>3037</v>
      </c>
      <c r="G212" s="33">
        <v>1961</v>
      </c>
    </row>
    <row r="213" spans="1:7" ht="20.100000000000001" customHeight="1" x14ac:dyDescent="0.25">
      <c r="A213" s="78"/>
      <c r="B213" s="5" t="s">
        <v>53</v>
      </c>
      <c r="C213" s="51">
        <v>0</v>
      </c>
      <c r="D213" s="28">
        <v>0</v>
      </c>
      <c r="E213" s="52">
        <v>0</v>
      </c>
      <c r="F213" s="28">
        <v>0</v>
      </c>
      <c r="G213" s="53">
        <v>1076</v>
      </c>
    </row>
    <row r="214" spans="1:7" ht="39.950000000000003" customHeight="1" x14ac:dyDescent="0.25">
      <c r="A214" s="103" t="s">
        <v>135</v>
      </c>
      <c r="B214" s="104"/>
      <c r="C214" s="104"/>
      <c r="D214" s="104"/>
      <c r="E214" s="104"/>
      <c r="F214" s="104"/>
      <c r="G214" s="105"/>
    </row>
    <row r="217" spans="1:7" ht="18" x14ac:dyDescent="0.25">
      <c r="A217" s="2" t="s">
        <v>136</v>
      </c>
    </row>
    <row r="219" spans="1:7" ht="27.95" customHeight="1" x14ac:dyDescent="0.25">
      <c r="A219" s="71" t="s">
        <v>137</v>
      </c>
      <c r="B219" s="72"/>
      <c r="C219" s="72"/>
      <c r="D219" s="72"/>
      <c r="E219" s="72"/>
      <c r="F219" s="73"/>
    </row>
    <row r="220" spans="1:7" ht="36" customHeight="1" x14ac:dyDescent="0.25">
      <c r="A220" s="109" t="s">
        <v>24</v>
      </c>
      <c r="B220" s="110"/>
      <c r="C220" s="55" t="s">
        <v>138</v>
      </c>
      <c r="D220" s="56" t="s">
        <v>56</v>
      </c>
      <c r="E220" s="57" t="s">
        <v>139</v>
      </c>
      <c r="F220" s="58" t="s">
        <v>140</v>
      </c>
    </row>
    <row r="221" spans="1:7" ht="20.100000000000001" customHeight="1" x14ac:dyDescent="0.25">
      <c r="A221" s="107" t="s">
        <v>52</v>
      </c>
      <c r="B221" s="30" t="s">
        <v>141</v>
      </c>
      <c r="C221" s="49">
        <v>1695</v>
      </c>
      <c r="D221" s="59">
        <v>55.811656239710238</v>
      </c>
      <c r="E221" s="60">
        <v>55.811656239710238</v>
      </c>
      <c r="F221" s="61">
        <v>55.811656239710238</v>
      </c>
    </row>
    <row r="222" spans="1:7" ht="20.100000000000001" customHeight="1" x14ac:dyDescent="0.25">
      <c r="A222" s="76"/>
      <c r="B222" s="4" t="s">
        <v>142</v>
      </c>
      <c r="C222" s="50">
        <v>1066</v>
      </c>
      <c r="D222" s="62">
        <v>35.100428054000659</v>
      </c>
      <c r="E222" s="63">
        <v>35.100428054000659</v>
      </c>
      <c r="F222" s="64">
        <v>90.912084293710905</v>
      </c>
    </row>
    <row r="223" spans="1:7" ht="20.100000000000001" customHeight="1" x14ac:dyDescent="0.25">
      <c r="A223" s="76"/>
      <c r="B223" s="4" t="s">
        <v>143</v>
      </c>
      <c r="C223" s="50">
        <v>221</v>
      </c>
      <c r="D223" s="62">
        <v>7.2769180111952592</v>
      </c>
      <c r="E223" s="63">
        <v>7.2769180111952592</v>
      </c>
      <c r="F223" s="64">
        <v>98.189002304906154</v>
      </c>
    </row>
    <row r="224" spans="1:7" ht="20.100000000000001" customHeight="1" x14ac:dyDescent="0.25">
      <c r="A224" s="76"/>
      <c r="B224" s="4" t="s">
        <v>144</v>
      </c>
      <c r="C224" s="50">
        <v>3</v>
      </c>
      <c r="D224" s="62">
        <v>9.8781692459664158E-2</v>
      </c>
      <c r="E224" s="63">
        <v>9.8781692459664158E-2</v>
      </c>
      <c r="F224" s="64">
        <v>98.287783997365821</v>
      </c>
    </row>
    <row r="225" spans="1:6" ht="20.100000000000001" customHeight="1" x14ac:dyDescent="0.25">
      <c r="A225" s="76"/>
      <c r="B225" s="4" t="s">
        <v>145</v>
      </c>
      <c r="C225" s="50">
        <v>52</v>
      </c>
      <c r="D225" s="62">
        <v>1.7122160026341784</v>
      </c>
      <c r="E225" s="63">
        <v>1.7122160026341784</v>
      </c>
      <c r="F225" s="64">
        <v>100</v>
      </c>
    </row>
    <row r="226" spans="1:6" ht="20.100000000000001" customHeight="1" x14ac:dyDescent="0.25">
      <c r="A226" s="78"/>
      <c r="B226" s="5" t="s">
        <v>54</v>
      </c>
      <c r="C226" s="51">
        <v>3037</v>
      </c>
      <c r="D226" s="65">
        <v>100</v>
      </c>
      <c r="E226" s="66">
        <v>100</v>
      </c>
      <c r="F226" s="67"/>
    </row>
    <row r="227" spans="1:6" ht="39.950000000000003" customHeight="1" x14ac:dyDescent="0.25">
      <c r="A227" s="103" t="s">
        <v>135</v>
      </c>
      <c r="B227" s="104"/>
      <c r="C227" s="104"/>
      <c r="D227" s="104"/>
      <c r="E227" s="104"/>
      <c r="F227" s="105"/>
    </row>
    <row r="229" spans="1:6" ht="27.95" customHeight="1" x14ac:dyDescent="0.25">
      <c r="A229" s="71" t="s">
        <v>146</v>
      </c>
      <c r="B229" s="72"/>
      <c r="C229" s="72"/>
      <c r="D229" s="72"/>
      <c r="E229" s="72"/>
      <c r="F229" s="73"/>
    </row>
    <row r="230" spans="1:6" ht="36" customHeight="1" x14ac:dyDescent="0.25">
      <c r="A230" s="109" t="s">
        <v>24</v>
      </c>
      <c r="B230" s="110"/>
      <c r="C230" s="55" t="s">
        <v>138</v>
      </c>
      <c r="D230" s="56" t="s">
        <v>56</v>
      </c>
      <c r="E230" s="57" t="s">
        <v>139</v>
      </c>
      <c r="F230" s="58" t="s">
        <v>140</v>
      </c>
    </row>
    <row r="231" spans="1:6" ht="20.100000000000001" customHeight="1" x14ac:dyDescent="0.25">
      <c r="A231" s="107" t="s">
        <v>52</v>
      </c>
      <c r="B231" s="30" t="s">
        <v>147</v>
      </c>
      <c r="C231" s="49">
        <v>342</v>
      </c>
      <c r="D231" s="59">
        <v>11.261112940401711</v>
      </c>
      <c r="E231" s="60">
        <v>11.261112940401711</v>
      </c>
      <c r="F231" s="61">
        <v>11.261112940401711</v>
      </c>
    </row>
    <row r="232" spans="1:6" ht="20.100000000000001" customHeight="1" x14ac:dyDescent="0.25">
      <c r="A232" s="76"/>
      <c r="B232" s="4" t="s">
        <v>148</v>
      </c>
      <c r="C232" s="50">
        <v>1105</v>
      </c>
      <c r="D232" s="62">
        <v>36.38459005597629</v>
      </c>
      <c r="E232" s="63">
        <v>36.38459005597629</v>
      </c>
      <c r="F232" s="64">
        <v>47.645702996378006</v>
      </c>
    </row>
    <row r="233" spans="1:6" ht="20.100000000000001" customHeight="1" x14ac:dyDescent="0.25">
      <c r="A233" s="76"/>
      <c r="B233" s="4" t="s">
        <v>149</v>
      </c>
      <c r="C233" s="50">
        <v>902</v>
      </c>
      <c r="D233" s="62">
        <v>29.700362199539022</v>
      </c>
      <c r="E233" s="63">
        <v>29.700362199539022</v>
      </c>
      <c r="F233" s="64">
        <v>77.346065195917021</v>
      </c>
    </row>
    <row r="234" spans="1:6" ht="20.100000000000001" customHeight="1" x14ac:dyDescent="0.25">
      <c r="A234" s="76"/>
      <c r="B234" s="4" t="s">
        <v>150</v>
      </c>
      <c r="C234" s="50">
        <v>688</v>
      </c>
      <c r="D234" s="62">
        <v>22.653934804082976</v>
      </c>
      <c r="E234" s="63">
        <v>22.653934804082976</v>
      </c>
      <c r="F234" s="64">
        <v>100</v>
      </c>
    </row>
    <row r="235" spans="1:6" ht="20.100000000000001" customHeight="1" x14ac:dyDescent="0.25">
      <c r="A235" s="78"/>
      <c r="B235" s="5" t="s">
        <v>54</v>
      </c>
      <c r="C235" s="51">
        <v>3037</v>
      </c>
      <c r="D235" s="65">
        <v>100</v>
      </c>
      <c r="E235" s="66">
        <v>100</v>
      </c>
      <c r="F235" s="67"/>
    </row>
    <row r="236" spans="1:6" ht="39.950000000000003" customHeight="1" x14ac:dyDescent="0.25">
      <c r="A236" s="103" t="s">
        <v>135</v>
      </c>
      <c r="B236" s="104"/>
      <c r="C236" s="104"/>
      <c r="D236" s="104"/>
      <c r="E236" s="104"/>
      <c r="F236" s="105"/>
    </row>
    <row r="238" spans="1:6" ht="27.95" customHeight="1" x14ac:dyDescent="0.25">
      <c r="A238" s="71" t="s">
        <v>151</v>
      </c>
      <c r="B238" s="72"/>
      <c r="C238" s="72"/>
      <c r="D238" s="72"/>
      <c r="E238" s="72"/>
      <c r="F238" s="73"/>
    </row>
    <row r="239" spans="1:6" ht="36" customHeight="1" x14ac:dyDescent="0.25">
      <c r="A239" s="109" t="s">
        <v>24</v>
      </c>
      <c r="B239" s="110"/>
      <c r="C239" s="55" t="s">
        <v>138</v>
      </c>
      <c r="D239" s="56" t="s">
        <v>56</v>
      </c>
      <c r="E239" s="57" t="s">
        <v>139</v>
      </c>
      <c r="F239" s="58" t="s">
        <v>140</v>
      </c>
    </row>
    <row r="240" spans="1:6" ht="20.100000000000001" customHeight="1" x14ac:dyDescent="0.25">
      <c r="A240" s="107" t="s">
        <v>52</v>
      </c>
      <c r="B240" s="30" t="s">
        <v>73</v>
      </c>
      <c r="C240" s="49">
        <v>439</v>
      </c>
      <c r="D240" s="59">
        <v>14.455054329930853</v>
      </c>
      <c r="E240" s="60">
        <v>14.455054329930853</v>
      </c>
      <c r="F240" s="61">
        <v>14.455054329930853</v>
      </c>
    </row>
    <row r="241" spans="1:6" ht="20.100000000000001" customHeight="1" x14ac:dyDescent="0.25">
      <c r="A241" s="76"/>
      <c r="B241" s="4" t="s">
        <v>74</v>
      </c>
      <c r="C241" s="50">
        <v>1386</v>
      </c>
      <c r="D241" s="62">
        <v>45.637141916364833</v>
      </c>
      <c r="E241" s="63">
        <v>45.637141916364833</v>
      </c>
      <c r="F241" s="64">
        <v>60.092196246295678</v>
      </c>
    </row>
    <row r="242" spans="1:6" ht="20.100000000000001" customHeight="1" x14ac:dyDescent="0.25">
      <c r="A242" s="76"/>
      <c r="B242" s="4" t="s">
        <v>75</v>
      </c>
      <c r="C242" s="50">
        <v>1212</v>
      </c>
      <c r="D242" s="62">
        <v>39.907803753704314</v>
      </c>
      <c r="E242" s="63">
        <v>39.907803753704314</v>
      </c>
      <c r="F242" s="64">
        <v>100</v>
      </c>
    </row>
    <row r="243" spans="1:6" ht="20.100000000000001" customHeight="1" x14ac:dyDescent="0.25">
      <c r="A243" s="78"/>
      <c r="B243" s="5" t="s">
        <v>54</v>
      </c>
      <c r="C243" s="51">
        <v>3037</v>
      </c>
      <c r="D243" s="65">
        <v>100</v>
      </c>
      <c r="E243" s="66">
        <v>100</v>
      </c>
      <c r="F243" s="67"/>
    </row>
    <row r="244" spans="1:6" ht="39.950000000000003" customHeight="1" x14ac:dyDescent="0.25">
      <c r="A244" s="103" t="s">
        <v>135</v>
      </c>
      <c r="B244" s="104"/>
      <c r="C244" s="104"/>
      <c r="D244" s="104"/>
      <c r="E244" s="104"/>
      <c r="F244" s="105"/>
    </row>
    <row r="246" spans="1:6" ht="27.95" customHeight="1" x14ac:dyDescent="0.25">
      <c r="A246" s="71" t="s">
        <v>152</v>
      </c>
      <c r="B246" s="72"/>
      <c r="C246" s="72"/>
      <c r="D246" s="72"/>
      <c r="E246" s="72"/>
      <c r="F246" s="73"/>
    </row>
    <row r="247" spans="1:6" ht="36" customHeight="1" x14ac:dyDescent="0.25">
      <c r="A247" s="109" t="s">
        <v>24</v>
      </c>
      <c r="B247" s="110"/>
      <c r="C247" s="55" t="s">
        <v>138</v>
      </c>
      <c r="D247" s="56" t="s">
        <v>56</v>
      </c>
      <c r="E247" s="57" t="s">
        <v>139</v>
      </c>
      <c r="F247" s="58" t="s">
        <v>140</v>
      </c>
    </row>
    <row r="248" spans="1:6" ht="20.100000000000001" customHeight="1" x14ac:dyDescent="0.25">
      <c r="A248" s="107" t="s">
        <v>52</v>
      </c>
      <c r="B248" s="30" t="s">
        <v>78</v>
      </c>
      <c r="C248" s="49">
        <v>784</v>
      </c>
      <c r="D248" s="59">
        <v>25.814948962792229</v>
      </c>
      <c r="E248" s="60">
        <v>25.814948962792229</v>
      </c>
      <c r="F248" s="61">
        <v>25.814948962792229</v>
      </c>
    </row>
    <row r="249" spans="1:6" ht="20.100000000000001" customHeight="1" x14ac:dyDescent="0.25">
      <c r="A249" s="76"/>
      <c r="B249" s="4" t="s">
        <v>79</v>
      </c>
      <c r="C249" s="50">
        <v>103</v>
      </c>
      <c r="D249" s="62">
        <v>3.3915047744484688</v>
      </c>
      <c r="E249" s="63">
        <v>3.3915047744484688</v>
      </c>
      <c r="F249" s="64">
        <v>29.2064537372407</v>
      </c>
    </row>
    <row r="250" spans="1:6" ht="20.100000000000001" customHeight="1" x14ac:dyDescent="0.25">
      <c r="A250" s="76"/>
      <c r="B250" s="4" t="s">
        <v>80</v>
      </c>
      <c r="C250" s="50">
        <v>899</v>
      </c>
      <c r="D250" s="62">
        <v>29.601580507079355</v>
      </c>
      <c r="E250" s="63">
        <v>29.601580507079355</v>
      </c>
      <c r="F250" s="64">
        <v>58.808034244320048</v>
      </c>
    </row>
    <row r="251" spans="1:6" ht="20.100000000000001" customHeight="1" x14ac:dyDescent="0.25">
      <c r="A251" s="76"/>
      <c r="B251" s="4" t="s">
        <v>81</v>
      </c>
      <c r="C251" s="50">
        <v>977</v>
      </c>
      <c r="D251" s="62">
        <v>32.169904511030623</v>
      </c>
      <c r="E251" s="63">
        <v>32.169904511030623</v>
      </c>
      <c r="F251" s="64">
        <v>90.977938755350678</v>
      </c>
    </row>
    <row r="252" spans="1:6" ht="20.100000000000001" customHeight="1" x14ac:dyDescent="0.25">
      <c r="A252" s="76"/>
      <c r="B252" s="4" t="s">
        <v>82</v>
      </c>
      <c r="C252" s="50">
        <v>77</v>
      </c>
      <c r="D252" s="62">
        <v>2.5353967731313798</v>
      </c>
      <c r="E252" s="63">
        <v>2.5353967731313798</v>
      </c>
      <c r="F252" s="64">
        <v>93.51333552848206</v>
      </c>
    </row>
    <row r="253" spans="1:6" ht="20.100000000000001" customHeight="1" x14ac:dyDescent="0.25">
      <c r="A253" s="76"/>
      <c r="B253" s="4" t="s">
        <v>83</v>
      </c>
      <c r="C253" s="50">
        <v>195</v>
      </c>
      <c r="D253" s="62">
        <v>6.4208100098781697</v>
      </c>
      <c r="E253" s="63">
        <v>6.4208100098781697</v>
      </c>
      <c r="F253" s="64">
        <v>99.934145538360212</v>
      </c>
    </row>
    <row r="254" spans="1:6" ht="20.100000000000001" customHeight="1" x14ac:dyDescent="0.25">
      <c r="A254" s="76"/>
      <c r="B254" s="4" t="s">
        <v>84</v>
      </c>
      <c r="C254" s="50">
        <v>2</v>
      </c>
      <c r="D254" s="62">
        <v>6.5854461639776096E-2</v>
      </c>
      <c r="E254" s="63">
        <v>6.5854461639776096E-2</v>
      </c>
      <c r="F254" s="64">
        <v>100</v>
      </c>
    </row>
    <row r="255" spans="1:6" ht="20.100000000000001" customHeight="1" x14ac:dyDescent="0.25">
      <c r="A255" s="78"/>
      <c r="B255" s="5" t="s">
        <v>54</v>
      </c>
      <c r="C255" s="51">
        <v>3037</v>
      </c>
      <c r="D255" s="65">
        <v>100</v>
      </c>
      <c r="E255" s="66">
        <v>100</v>
      </c>
      <c r="F255" s="67"/>
    </row>
    <row r="256" spans="1:6" ht="39.950000000000003" customHeight="1" x14ac:dyDescent="0.25">
      <c r="A256" s="103" t="s">
        <v>135</v>
      </c>
      <c r="B256" s="104"/>
      <c r="C256" s="104"/>
      <c r="D256" s="104"/>
      <c r="E256" s="104"/>
      <c r="F256" s="105"/>
    </row>
    <row r="258" spans="1:7" ht="27.95" customHeight="1" x14ac:dyDescent="0.25">
      <c r="A258" s="71" t="s">
        <v>153</v>
      </c>
      <c r="B258" s="72"/>
      <c r="C258" s="72"/>
      <c r="D258" s="72"/>
      <c r="E258" s="72"/>
      <c r="F258" s="73"/>
    </row>
    <row r="259" spans="1:7" ht="36" customHeight="1" x14ac:dyDescent="0.25">
      <c r="A259" s="109" t="s">
        <v>24</v>
      </c>
      <c r="B259" s="110"/>
      <c r="C259" s="55" t="s">
        <v>138</v>
      </c>
      <c r="D259" s="56" t="s">
        <v>56</v>
      </c>
      <c r="E259" s="57" t="s">
        <v>139</v>
      </c>
      <c r="F259" s="58" t="s">
        <v>140</v>
      </c>
    </row>
    <row r="260" spans="1:7" ht="20.100000000000001" customHeight="1" x14ac:dyDescent="0.25">
      <c r="A260" s="107" t="s">
        <v>52</v>
      </c>
      <c r="B260" s="30" t="s">
        <v>154</v>
      </c>
      <c r="C260" s="49">
        <v>313</v>
      </c>
      <c r="D260" s="59">
        <v>10.306223246624958</v>
      </c>
      <c r="E260" s="60">
        <v>15.961244263131055</v>
      </c>
      <c r="F260" s="61">
        <v>15.961244263131055</v>
      </c>
    </row>
    <row r="261" spans="1:7" ht="20.100000000000001" customHeight="1" x14ac:dyDescent="0.25">
      <c r="A261" s="76"/>
      <c r="B261" s="4" t="s">
        <v>155</v>
      </c>
      <c r="C261" s="50">
        <v>486</v>
      </c>
      <c r="D261" s="62">
        <v>16.002634178465591</v>
      </c>
      <c r="E261" s="63">
        <v>24.783273839877616</v>
      </c>
      <c r="F261" s="64">
        <v>40.744518103008673</v>
      </c>
    </row>
    <row r="262" spans="1:7" ht="20.100000000000001" customHeight="1" x14ac:dyDescent="0.25">
      <c r="A262" s="76"/>
      <c r="B262" s="4" t="s">
        <v>156</v>
      </c>
      <c r="C262" s="50">
        <v>296</v>
      </c>
      <c r="D262" s="62">
        <v>9.7464603226868611</v>
      </c>
      <c r="E262" s="63">
        <v>15.09433962264151</v>
      </c>
      <c r="F262" s="64">
        <v>55.838857725650179</v>
      </c>
    </row>
    <row r="263" spans="1:7" ht="39.950000000000003" customHeight="1" x14ac:dyDescent="0.25">
      <c r="A263" s="76"/>
      <c r="B263" s="4" t="s">
        <v>157</v>
      </c>
      <c r="C263" s="50">
        <v>866</v>
      </c>
      <c r="D263" s="62">
        <v>28.514981890023051</v>
      </c>
      <c r="E263" s="63">
        <v>44.161142274349821</v>
      </c>
      <c r="F263" s="64">
        <v>100</v>
      </c>
    </row>
    <row r="264" spans="1:7" ht="20.100000000000001" customHeight="1" x14ac:dyDescent="0.25">
      <c r="A264" s="76"/>
      <c r="B264" s="4" t="s">
        <v>54</v>
      </c>
      <c r="C264" s="50">
        <v>1961</v>
      </c>
      <c r="D264" s="62">
        <v>64.57029963780046</v>
      </c>
      <c r="E264" s="63">
        <v>100</v>
      </c>
      <c r="F264" s="68"/>
    </row>
    <row r="265" spans="1:7" ht="20.100000000000001" customHeight="1" x14ac:dyDescent="0.25">
      <c r="A265" s="3" t="s">
        <v>53</v>
      </c>
      <c r="B265" s="4" t="s">
        <v>158</v>
      </c>
      <c r="C265" s="50">
        <v>1076</v>
      </c>
      <c r="D265" s="62">
        <v>35.42970036219954</v>
      </c>
      <c r="E265" s="69"/>
      <c r="F265" s="68"/>
    </row>
    <row r="266" spans="1:7" ht="20.100000000000001" customHeight="1" x14ac:dyDescent="0.25">
      <c r="A266" s="78" t="s">
        <v>54</v>
      </c>
      <c r="B266" s="108"/>
      <c r="C266" s="51">
        <v>3037</v>
      </c>
      <c r="D266" s="65">
        <v>100</v>
      </c>
      <c r="E266" s="70"/>
      <c r="F266" s="67"/>
    </row>
    <row r="267" spans="1:7" ht="39.950000000000003" customHeight="1" x14ac:dyDescent="0.25">
      <c r="A267" s="103" t="s">
        <v>135</v>
      </c>
      <c r="B267" s="104"/>
      <c r="C267" s="104"/>
      <c r="D267" s="104"/>
      <c r="E267" s="104"/>
      <c r="F267" s="105"/>
    </row>
    <row r="270" spans="1:7" ht="18" x14ac:dyDescent="0.25">
      <c r="A270" s="2" t="s">
        <v>159</v>
      </c>
    </row>
    <row r="272" spans="1:7" ht="27.95" customHeight="1" x14ac:dyDescent="0.25">
      <c r="A272" s="71" t="s">
        <v>131</v>
      </c>
      <c r="B272" s="72"/>
      <c r="C272" s="72"/>
      <c r="D272" s="72"/>
      <c r="E272" s="72"/>
      <c r="F272" s="72"/>
      <c r="G272" s="73"/>
    </row>
    <row r="273" spans="1:7" ht="36" customHeight="1" x14ac:dyDescent="0.25">
      <c r="A273" s="109" t="s">
        <v>24</v>
      </c>
      <c r="B273" s="110"/>
      <c r="C273" s="55" t="s">
        <v>132</v>
      </c>
      <c r="D273" s="56" t="s">
        <v>133</v>
      </c>
      <c r="E273" s="57" t="s">
        <v>71</v>
      </c>
      <c r="F273" s="56" t="s">
        <v>77</v>
      </c>
      <c r="G273" s="58" t="s">
        <v>134</v>
      </c>
    </row>
    <row r="274" spans="1:7" ht="20.100000000000001" customHeight="1" x14ac:dyDescent="0.25">
      <c r="A274" s="107" t="s">
        <v>55</v>
      </c>
      <c r="B274" s="30" t="s">
        <v>52</v>
      </c>
      <c r="C274" s="49">
        <v>1025</v>
      </c>
      <c r="D274" s="20">
        <v>1025</v>
      </c>
      <c r="E274" s="32">
        <v>1024</v>
      </c>
      <c r="F274" s="20">
        <v>1025</v>
      </c>
      <c r="G274" s="33">
        <v>532</v>
      </c>
    </row>
    <row r="275" spans="1:7" ht="20.100000000000001" customHeight="1" x14ac:dyDescent="0.25">
      <c r="A275" s="78"/>
      <c r="B275" s="5" t="s">
        <v>53</v>
      </c>
      <c r="C275" s="51">
        <v>0</v>
      </c>
      <c r="D275" s="28">
        <v>0</v>
      </c>
      <c r="E275" s="52">
        <v>1</v>
      </c>
      <c r="F275" s="28">
        <v>0</v>
      </c>
      <c r="G275" s="53">
        <v>493</v>
      </c>
    </row>
    <row r="276" spans="1:7" ht="39.950000000000003" customHeight="1" x14ac:dyDescent="0.25">
      <c r="A276" s="103" t="s">
        <v>160</v>
      </c>
      <c r="B276" s="104"/>
      <c r="C276" s="104"/>
      <c r="D276" s="104"/>
      <c r="E276" s="104"/>
      <c r="F276" s="104"/>
      <c r="G276" s="105"/>
    </row>
    <row r="279" spans="1:7" ht="18" x14ac:dyDescent="0.25">
      <c r="A279" s="2" t="s">
        <v>136</v>
      </c>
    </row>
    <row r="281" spans="1:7" ht="27.95" customHeight="1" x14ac:dyDescent="0.25">
      <c r="A281" s="71" t="s">
        <v>137</v>
      </c>
      <c r="B281" s="72"/>
      <c r="C281" s="72"/>
      <c r="D281" s="72"/>
      <c r="E281" s="72"/>
      <c r="F281" s="73"/>
    </row>
    <row r="282" spans="1:7" ht="36" customHeight="1" x14ac:dyDescent="0.25">
      <c r="A282" s="109" t="s">
        <v>24</v>
      </c>
      <c r="B282" s="110"/>
      <c r="C282" s="55" t="s">
        <v>138</v>
      </c>
      <c r="D282" s="56" t="s">
        <v>56</v>
      </c>
      <c r="E282" s="57" t="s">
        <v>139</v>
      </c>
      <c r="F282" s="58" t="s">
        <v>140</v>
      </c>
    </row>
    <row r="283" spans="1:7" ht="20.100000000000001" customHeight="1" x14ac:dyDescent="0.25">
      <c r="A283" s="107" t="s">
        <v>52</v>
      </c>
      <c r="B283" s="30" t="s">
        <v>141</v>
      </c>
      <c r="C283" s="49">
        <v>408</v>
      </c>
      <c r="D283" s="59">
        <v>39.804878048780488</v>
      </c>
      <c r="E283" s="60">
        <v>39.804878048780488</v>
      </c>
      <c r="F283" s="61">
        <v>39.804878048780488</v>
      </c>
    </row>
    <row r="284" spans="1:7" ht="20.100000000000001" customHeight="1" x14ac:dyDescent="0.25">
      <c r="A284" s="76"/>
      <c r="B284" s="4" t="s">
        <v>142</v>
      </c>
      <c r="C284" s="50">
        <v>453</v>
      </c>
      <c r="D284" s="62">
        <v>44.195121951219512</v>
      </c>
      <c r="E284" s="63">
        <v>44.195121951219512</v>
      </c>
      <c r="F284" s="64">
        <v>84</v>
      </c>
    </row>
    <row r="285" spans="1:7" ht="20.100000000000001" customHeight="1" x14ac:dyDescent="0.25">
      <c r="A285" s="76"/>
      <c r="B285" s="4" t="s">
        <v>143</v>
      </c>
      <c r="C285" s="50">
        <v>123</v>
      </c>
      <c r="D285" s="62">
        <v>12</v>
      </c>
      <c r="E285" s="63">
        <v>12</v>
      </c>
      <c r="F285" s="64">
        <v>96</v>
      </c>
    </row>
    <row r="286" spans="1:7" ht="20.100000000000001" customHeight="1" x14ac:dyDescent="0.25">
      <c r="A286" s="76"/>
      <c r="B286" s="4" t="s">
        <v>144</v>
      </c>
      <c r="C286" s="50">
        <v>7</v>
      </c>
      <c r="D286" s="62">
        <v>0.68292682926829273</v>
      </c>
      <c r="E286" s="63">
        <v>0.68292682926829273</v>
      </c>
      <c r="F286" s="64">
        <v>96.682926829268297</v>
      </c>
    </row>
    <row r="287" spans="1:7" ht="20.100000000000001" customHeight="1" x14ac:dyDescent="0.25">
      <c r="A287" s="76"/>
      <c r="B287" s="4" t="s">
        <v>145</v>
      </c>
      <c r="C287" s="50">
        <v>34</v>
      </c>
      <c r="D287" s="62">
        <v>3.3170731707317076</v>
      </c>
      <c r="E287" s="63">
        <v>3.3170731707317076</v>
      </c>
      <c r="F287" s="64">
        <v>100</v>
      </c>
    </row>
    <row r="288" spans="1:7" ht="20.100000000000001" customHeight="1" x14ac:dyDescent="0.25">
      <c r="A288" s="78"/>
      <c r="B288" s="5" t="s">
        <v>54</v>
      </c>
      <c r="C288" s="51">
        <v>1025</v>
      </c>
      <c r="D288" s="65">
        <v>100</v>
      </c>
      <c r="E288" s="66">
        <v>100</v>
      </c>
      <c r="F288" s="67"/>
    </row>
    <row r="289" spans="1:6" ht="39.950000000000003" customHeight="1" x14ac:dyDescent="0.25">
      <c r="A289" s="103" t="s">
        <v>160</v>
      </c>
      <c r="B289" s="104"/>
      <c r="C289" s="104"/>
      <c r="D289" s="104"/>
      <c r="E289" s="104"/>
      <c r="F289" s="105"/>
    </row>
    <row r="291" spans="1:6" ht="27.95" customHeight="1" x14ac:dyDescent="0.25">
      <c r="A291" s="71" t="s">
        <v>146</v>
      </c>
      <c r="B291" s="72"/>
      <c r="C291" s="72"/>
      <c r="D291" s="72"/>
      <c r="E291" s="72"/>
      <c r="F291" s="73"/>
    </row>
    <row r="292" spans="1:6" ht="36" customHeight="1" x14ac:dyDescent="0.25">
      <c r="A292" s="109" t="s">
        <v>24</v>
      </c>
      <c r="B292" s="110"/>
      <c r="C292" s="55" t="s">
        <v>138</v>
      </c>
      <c r="D292" s="56" t="s">
        <v>56</v>
      </c>
      <c r="E292" s="57" t="s">
        <v>139</v>
      </c>
      <c r="F292" s="58" t="s">
        <v>140</v>
      </c>
    </row>
    <row r="293" spans="1:6" ht="20.100000000000001" customHeight="1" x14ac:dyDescent="0.25">
      <c r="A293" s="107" t="s">
        <v>52</v>
      </c>
      <c r="B293" s="30" t="s">
        <v>147</v>
      </c>
      <c r="C293" s="49">
        <v>39</v>
      </c>
      <c r="D293" s="59">
        <v>3.8048780487804876</v>
      </c>
      <c r="E293" s="60">
        <v>3.8048780487804876</v>
      </c>
      <c r="F293" s="61">
        <v>3.8048780487804876</v>
      </c>
    </row>
    <row r="294" spans="1:6" ht="20.100000000000001" customHeight="1" x14ac:dyDescent="0.25">
      <c r="A294" s="76"/>
      <c r="B294" s="4" t="s">
        <v>148</v>
      </c>
      <c r="C294" s="50">
        <v>245</v>
      </c>
      <c r="D294" s="62">
        <v>23.902439024390244</v>
      </c>
      <c r="E294" s="63">
        <v>23.902439024390244</v>
      </c>
      <c r="F294" s="64">
        <v>27.707317073170735</v>
      </c>
    </row>
    <row r="295" spans="1:6" ht="20.100000000000001" customHeight="1" x14ac:dyDescent="0.25">
      <c r="A295" s="76"/>
      <c r="B295" s="4" t="s">
        <v>149</v>
      </c>
      <c r="C295" s="50">
        <v>306</v>
      </c>
      <c r="D295" s="62">
        <v>29.853658536585364</v>
      </c>
      <c r="E295" s="63">
        <v>29.853658536585364</v>
      </c>
      <c r="F295" s="64">
        <v>57.560975609756092</v>
      </c>
    </row>
    <row r="296" spans="1:6" ht="20.100000000000001" customHeight="1" x14ac:dyDescent="0.25">
      <c r="A296" s="76"/>
      <c r="B296" s="4" t="s">
        <v>150</v>
      </c>
      <c r="C296" s="50">
        <v>435</v>
      </c>
      <c r="D296" s="62">
        <v>42.439024390243901</v>
      </c>
      <c r="E296" s="63">
        <v>42.439024390243901</v>
      </c>
      <c r="F296" s="64">
        <v>100</v>
      </c>
    </row>
    <row r="297" spans="1:6" ht="20.100000000000001" customHeight="1" x14ac:dyDescent="0.25">
      <c r="A297" s="78"/>
      <c r="B297" s="5" t="s">
        <v>54</v>
      </c>
      <c r="C297" s="51">
        <v>1025</v>
      </c>
      <c r="D297" s="65">
        <v>100</v>
      </c>
      <c r="E297" s="66">
        <v>100</v>
      </c>
      <c r="F297" s="67"/>
    </row>
    <row r="298" spans="1:6" ht="59.1" customHeight="1" x14ac:dyDescent="0.25">
      <c r="A298" s="103" t="s">
        <v>160</v>
      </c>
      <c r="B298" s="104"/>
      <c r="C298" s="104"/>
      <c r="D298" s="104"/>
      <c r="E298" s="104"/>
      <c r="F298" s="105"/>
    </row>
    <row r="300" spans="1:6" ht="27.95" customHeight="1" x14ac:dyDescent="0.25">
      <c r="A300" s="71" t="s">
        <v>151</v>
      </c>
      <c r="B300" s="72"/>
      <c r="C300" s="72"/>
      <c r="D300" s="72"/>
      <c r="E300" s="72"/>
      <c r="F300" s="73"/>
    </row>
    <row r="301" spans="1:6" ht="36" customHeight="1" x14ac:dyDescent="0.25">
      <c r="A301" s="109" t="s">
        <v>24</v>
      </c>
      <c r="B301" s="110"/>
      <c r="C301" s="55" t="s">
        <v>138</v>
      </c>
      <c r="D301" s="56" t="s">
        <v>56</v>
      </c>
      <c r="E301" s="57" t="s">
        <v>139</v>
      </c>
      <c r="F301" s="58" t="s">
        <v>140</v>
      </c>
    </row>
    <row r="302" spans="1:6" ht="20.100000000000001" customHeight="1" x14ac:dyDescent="0.25">
      <c r="A302" s="107" t="s">
        <v>52</v>
      </c>
      <c r="B302" s="30" t="s">
        <v>72</v>
      </c>
      <c r="C302" s="49">
        <v>673</v>
      </c>
      <c r="D302" s="59">
        <v>65.658536585365852</v>
      </c>
      <c r="E302" s="60">
        <v>65.72265625</v>
      </c>
      <c r="F302" s="61">
        <v>65.72265625</v>
      </c>
    </row>
    <row r="303" spans="1:6" ht="20.100000000000001" customHeight="1" x14ac:dyDescent="0.25">
      <c r="A303" s="76"/>
      <c r="B303" s="4" t="s">
        <v>73</v>
      </c>
      <c r="C303" s="50">
        <v>292</v>
      </c>
      <c r="D303" s="62">
        <v>28.487804878048777</v>
      </c>
      <c r="E303" s="63">
        <v>28.515625</v>
      </c>
      <c r="F303" s="64">
        <v>94.23828125</v>
      </c>
    </row>
    <row r="304" spans="1:6" ht="20.100000000000001" customHeight="1" x14ac:dyDescent="0.25">
      <c r="A304" s="76"/>
      <c r="B304" s="4" t="s">
        <v>74</v>
      </c>
      <c r="C304" s="50">
        <v>57</v>
      </c>
      <c r="D304" s="62">
        <v>5.5609756097560981</v>
      </c>
      <c r="E304" s="63">
        <v>5.56640625</v>
      </c>
      <c r="F304" s="64">
        <v>99.8046875</v>
      </c>
    </row>
    <row r="305" spans="1:6" ht="20.100000000000001" customHeight="1" x14ac:dyDescent="0.25">
      <c r="A305" s="76"/>
      <c r="B305" s="4" t="s">
        <v>75</v>
      </c>
      <c r="C305" s="50">
        <v>2</v>
      </c>
      <c r="D305" s="62">
        <v>0.1951219512195122</v>
      </c>
      <c r="E305" s="63">
        <v>0.1953125</v>
      </c>
      <c r="F305" s="64">
        <v>100</v>
      </c>
    </row>
    <row r="306" spans="1:6" ht="20.100000000000001" customHeight="1" x14ac:dyDescent="0.25">
      <c r="A306" s="76"/>
      <c r="B306" s="4" t="s">
        <v>54</v>
      </c>
      <c r="C306" s="50">
        <v>1024</v>
      </c>
      <c r="D306" s="62">
        <v>99.902439024390247</v>
      </c>
      <c r="E306" s="63">
        <v>100</v>
      </c>
      <c r="F306" s="68"/>
    </row>
    <row r="307" spans="1:6" ht="20.100000000000001" customHeight="1" x14ac:dyDescent="0.25">
      <c r="A307" s="3" t="s">
        <v>53</v>
      </c>
      <c r="B307" s="4" t="s">
        <v>158</v>
      </c>
      <c r="C307" s="50">
        <v>1</v>
      </c>
      <c r="D307" s="62">
        <v>9.7560975609756101E-2</v>
      </c>
      <c r="E307" s="69"/>
      <c r="F307" s="68"/>
    </row>
    <row r="308" spans="1:6" ht="20.100000000000001" customHeight="1" x14ac:dyDescent="0.25">
      <c r="A308" s="78" t="s">
        <v>54</v>
      </c>
      <c r="B308" s="108"/>
      <c r="C308" s="51">
        <v>1025</v>
      </c>
      <c r="D308" s="65">
        <v>100</v>
      </c>
      <c r="E308" s="70"/>
      <c r="F308" s="67"/>
    </row>
    <row r="309" spans="1:6" ht="39.950000000000003" customHeight="1" x14ac:dyDescent="0.25">
      <c r="A309" s="103" t="s">
        <v>160</v>
      </c>
      <c r="B309" s="104"/>
      <c r="C309" s="104"/>
      <c r="D309" s="104"/>
      <c r="E309" s="104"/>
      <c r="F309" s="105"/>
    </row>
    <row r="311" spans="1:6" ht="27.95" customHeight="1" x14ac:dyDescent="0.25">
      <c r="A311" s="71" t="s">
        <v>152</v>
      </c>
      <c r="B311" s="72"/>
      <c r="C311" s="72"/>
      <c r="D311" s="72"/>
      <c r="E311" s="72"/>
      <c r="F311" s="73"/>
    </row>
    <row r="312" spans="1:6" ht="36" customHeight="1" x14ac:dyDescent="0.25">
      <c r="A312" s="109" t="s">
        <v>24</v>
      </c>
      <c r="B312" s="110"/>
      <c r="C312" s="55" t="s">
        <v>138</v>
      </c>
      <c r="D312" s="56" t="s">
        <v>56</v>
      </c>
      <c r="E312" s="57" t="s">
        <v>139</v>
      </c>
      <c r="F312" s="58" t="s">
        <v>140</v>
      </c>
    </row>
    <row r="313" spans="1:6" ht="20.100000000000001" customHeight="1" x14ac:dyDescent="0.25">
      <c r="A313" s="107" t="s">
        <v>52</v>
      </c>
      <c r="B313" s="30" t="s">
        <v>78</v>
      </c>
      <c r="C313" s="49">
        <v>968</v>
      </c>
      <c r="D313" s="59">
        <v>94.439024390243901</v>
      </c>
      <c r="E313" s="60">
        <v>94.439024390243901</v>
      </c>
      <c r="F313" s="61">
        <v>94.439024390243901</v>
      </c>
    </row>
    <row r="314" spans="1:6" ht="20.100000000000001" customHeight="1" x14ac:dyDescent="0.25">
      <c r="A314" s="76"/>
      <c r="B314" s="4" t="s">
        <v>79</v>
      </c>
      <c r="C314" s="50">
        <v>1</v>
      </c>
      <c r="D314" s="62">
        <v>9.7560975609756101E-2</v>
      </c>
      <c r="E314" s="63">
        <v>9.7560975609756101E-2</v>
      </c>
      <c r="F314" s="64">
        <v>94.536585365853654</v>
      </c>
    </row>
    <row r="315" spans="1:6" ht="20.100000000000001" customHeight="1" x14ac:dyDescent="0.25">
      <c r="A315" s="76"/>
      <c r="B315" s="4" t="s">
        <v>80</v>
      </c>
      <c r="C315" s="50">
        <v>1</v>
      </c>
      <c r="D315" s="62">
        <v>9.7560975609756101E-2</v>
      </c>
      <c r="E315" s="63">
        <v>9.7560975609756101E-2</v>
      </c>
      <c r="F315" s="64">
        <v>94.634146341463406</v>
      </c>
    </row>
    <row r="316" spans="1:6" ht="20.100000000000001" customHeight="1" x14ac:dyDescent="0.25">
      <c r="A316" s="76"/>
      <c r="B316" s="4" t="s">
        <v>81</v>
      </c>
      <c r="C316" s="50">
        <v>26</v>
      </c>
      <c r="D316" s="62">
        <v>2.5365853658536586</v>
      </c>
      <c r="E316" s="63">
        <v>2.5365853658536586</v>
      </c>
      <c r="F316" s="64">
        <v>97.170731707317074</v>
      </c>
    </row>
    <row r="317" spans="1:6" ht="20.100000000000001" customHeight="1" x14ac:dyDescent="0.25">
      <c r="A317" s="76"/>
      <c r="B317" s="4" t="s">
        <v>83</v>
      </c>
      <c r="C317" s="50">
        <v>29</v>
      </c>
      <c r="D317" s="62">
        <v>2.8292682926829271</v>
      </c>
      <c r="E317" s="63">
        <v>2.8292682926829271</v>
      </c>
      <c r="F317" s="64">
        <v>100</v>
      </c>
    </row>
    <row r="318" spans="1:6" ht="20.100000000000001" customHeight="1" x14ac:dyDescent="0.25">
      <c r="A318" s="78"/>
      <c r="B318" s="5" t="s">
        <v>54</v>
      </c>
      <c r="C318" s="51">
        <v>1025</v>
      </c>
      <c r="D318" s="65">
        <v>100</v>
      </c>
      <c r="E318" s="66">
        <v>100</v>
      </c>
      <c r="F318" s="67"/>
    </row>
    <row r="319" spans="1:6" ht="39.950000000000003" customHeight="1" x14ac:dyDescent="0.25">
      <c r="A319" s="103" t="s">
        <v>160</v>
      </c>
      <c r="B319" s="104"/>
      <c r="C319" s="104"/>
      <c r="D319" s="104"/>
      <c r="E319" s="104"/>
      <c r="F319" s="105"/>
    </row>
    <row r="321" spans="1:6" ht="27.95" customHeight="1" x14ac:dyDescent="0.25">
      <c r="A321" s="71" t="s">
        <v>153</v>
      </c>
      <c r="B321" s="72"/>
      <c r="C321" s="72"/>
      <c r="D321" s="72"/>
      <c r="E321" s="72"/>
      <c r="F321" s="73"/>
    </row>
    <row r="322" spans="1:6" ht="36" customHeight="1" x14ac:dyDescent="0.25">
      <c r="A322" s="109" t="s">
        <v>24</v>
      </c>
      <c r="B322" s="110"/>
      <c r="C322" s="55" t="s">
        <v>138</v>
      </c>
      <c r="D322" s="56" t="s">
        <v>56</v>
      </c>
      <c r="E322" s="57" t="s">
        <v>139</v>
      </c>
      <c r="F322" s="58" t="s">
        <v>140</v>
      </c>
    </row>
    <row r="323" spans="1:6" ht="20.100000000000001" customHeight="1" x14ac:dyDescent="0.25">
      <c r="A323" s="107" t="s">
        <v>52</v>
      </c>
      <c r="B323" s="30" t="s">
        <v>154</v>
      </c>
      <c r="C323" s="49">
        <v>67</v>
      </c>
      <c r="D323" s="59">
        <v>6.536585365853659</v>
      </c>
      <c r="E323" s="60">
        <v>12.593984962406015</v>
      </c>
      <c r="F323" s="61">
        <v>12.593984962406015</v>
      </c>
    </row>
    <row r="324" spans="1:6" ht="20.100000000000001" customHeight="1" x14ac:dyDescent="0.25">
      <c r="A324" s="76"/>
      <c r="B324" s="4" t="s">
        <v>155</v>
      </c>
      <c r="C324" s="50">
        <v>71</v>
      </c>
      <c r="D324" s="62">
        <v>6.9268292682926838</v>
      </c>
      <c r="E324" s="63">
        <v>13.345864661654137</v>
      </c>
      <c r="F324" s="64">
        <v>25.939849624060152</v>
      </c>
    </row>
    <row r="325" spans="1:6" ht="20.100000000000001" customHeight="1" x14ac:dyDescent="0.25">
      <c r="A325" s="76"/>
      <c r="B325" s="4" t="s">
        <v>156</v>
      </c>
      <c r="C325" s="50">
        <v>59</v>
      </c>
      <c r="D325" s="62">
        <v>5.7560975609756104</v>
      </c>
      <c r="E325" s="63">
        <v>11.090225563909774</v>
      </c>
      <c r="F325" s="64">
        <v>37.030075187969928</v>
      </c>
    </row>
    <row r="326" spans="1:6" ht="39.950000000000003" customHeight="1" x14ac:dyDescent="0.25">
      <c r="A326" s="76"/>
      <c r="B326" s="4" t="s">
        <v>157</v>
      </c>
      <c r="C326" s="50">
        <v>335</v>
      </c>
      <c r="D326" s="62">
        <v>32.682926829268297</v>
      </c>
      <c r="E326" s="63">
        <v>62.969924812030072</v>
      </c>
      <c r="F326" s="64">
        <v>100</v>
      </c>
    </row>
    <row r="327" spans="1:6" ht="20.100000000000001" customHeight="1" x14ac:dyDescent="0.25">
      <c r="A327" s="76"/>
      <c r="B327" s="4" t="s">
        <v>54</v>
      </c>
      <c r="C327" s="50">
        <v>532</v>
      </c>
      <c r="D327" s="62">
        <v>51.902439024390247</v>
      </c>
      <c r="E327" s="63">
        <v>100</v>
      </c>
      <c r="F327" s="68"/>
    </row>
    <row r="328" spans="1:6" ht="20.100000000000001" customHeight="1" x14ac:dyDescent="0.25">
      <c r="A328" s="3" t="s">
        <v>53</v>
      </c>
      <c r="B328" s="4" t="s">
        <v>158</v>
      </c>
      <c r="C328" s="50">
        <v>493</v>
      </c>
      <c r="D328" s="62">
        <v>48.097560975609753</v>
      </c>
      <c r="E328" s="69"/>
      <c r="F328" s="68"/>
    </row>
    <row r="329" spans="1:6" ht="20.100000000000001" customHeight="1" x14ac:dyDescent="0.25">
      <c r="A329" s="78" t="s">
        <v>54</v>
      </c>
      <c r="B329" s="108"/>
      <c r="C329" s="51">
        <v>1025</v>
      </c>
      <c r="D329" s="65">
        <v>100</v>
      </c>
      <c r="E329" s="70"/>
      <c r="F329" s="67"/>
    </row>
    <row r="330" spans="1:6" ht="39.950000000000003" customHeight="1" x14ac:dyDescent="0.25">
      <c r="A330" s="103" t="s">
        <v>160</v>
      </c>
      <c r="B330" s="104"/>
      <c r="C330" s="104"/>
      <c r="D330" s="104"/>
      <c r="E330" s="104"/>
      <c r="F330" s="105"/>
    </row>
  </sheetData>
  <mergeCells count="138">
    <mergeCell ref="A330:F330"/>
    <mergeCell ref="A319:F319"/>
    <mergeCell ref="A321:F321"/>
    <mergeCell ref="A322:B322"/>
    <mergeCell ref="A323:A327"/>
    <mergeCell ref="A329:B329"/>
    <mergeCell ref="A308:B308"/>
    <mergeCell ref="A309:F309"/>
    <mergeCell ref="A311:F311"/>
    <mergeCell ref="A312:B312"/>
    <mergeCell ref="A313:A318"/>
    <mergeCell ref="A293:A297"/>
    <mergeCell ref="A298:F298"/>
    <mergeCell ref="A300:F300"/>
    <mergeCell ref="A301:B301"/>
    <mergeCell ref="A302:A306"/>
    <mergeCell ref="A282:B282"/>
    <mergeCell ref="A283:A288"/>
    <mergeCell ref="A289:F289"/>
    <mergeCell ref="A291:F291"/>
    <mergeCell ref="A292:B292"/>
    <mergeCell ref="A272:G272"/>
    <mergeCell ref="A273:B273"/>
    <mergeCell ref="A274:A275"/>
    <mergeCell ref="A276:G276"/>
    <mergeCell ref="A281:F281"/>
    <mergeCell ref="A258:F258"/>
    <mergeCell ref="A259:B259"/>
    <mergeCell ref="A260:A264"/>
    <mergeCell ref="A266:B266"/>
    <mergeCell ref="A267:F267"/>
    <mergeCell ref="A244:F244"/>
    <mergeCell ref="A246:F246"/>
    <mergeCell ref="A247:B247"/>
    <mergeCell ref="A248:A255"/>
    <mergeCell ref="A256:F256"/>
    <mergeCell ref="A231:A235"/>
    <mergeCell ref="A236:F236"/>
    <mergeCell ref="A238:F238"/>
    <mergeCell ref="A239:B239"/>
    <mergeCell ref="A240:A243"/>
    <mergeCell ref="A220:B220"/>
    <mergeCell ref="A221:A226"/>
    <mergeCell ref="A227:F227"/>
    <mergeCell ref="A229:F229"/>
    <mergeCell ref="A230:B230"/>
    <mergeCell ref="A210:G210"/>
    <mergeCell ref="A211:B211"/>
    <mergeCell ref="A212:A213"/>
    <mergeCell ref="A214:G214"/>
    <mergeCell ref="A219:F219"/>
    <mergeCell ref="A194:B194"/>
    <mergeCell ref="A195:A200"/>
    <mergeCell ref="A201:A202"/>
    <mergeCell ref="A203:B203"/>
    <mergeCell ref="A204:A205"/>
    <mergeCell ref="A160:A163"/>
    <mergeCell ref="A164:B164"/>
    <mergeCell ref="A165:I165"/>
    <mergeCell ref="A192:C192"/>
    <mergeCell ref="A193:B193"/>
    <mergeCell ref="A154:G154"/>
    <mergeCell ref="A156:I156"/>
    <mergeCell ref="A158:B159"/>
    <mergeCell ref="C158:H158"/>
    <mergeCell ref="I158:I159"/>
    <mergeCell ref="A139:A142"/>
    <mergeCell ref="A143:B143"/>
    <mergeCell ref="A144:J144"/>
    <mergeCell ref="A149:G149"/>
    <mergeCell ref="A150:A152"/>
    <mergeCell ref="B150:G150"/>
    <mergeCell ref="B151:C151"/>
    <mergeCell ref="D151:E151"/>
    <mergeCell ref="F151:G151"/>
    <mergeCell ref="A133:G133"/>
    <mergeCell ref="A135:J135"/>
    <mergeCell ref="A137:B138"/>
    <mergeCell ref="C137:I137"/>
    <mergeCell ref="J137:J138"/>
    <mergeCell ref="A120:A123"/>
    <mergeCell ref="A128:G128"/>
    <mergeCell ref="A129:A131"/>
    <mergeCell ref="B129:G129"/>
    <mergeCell ref="B130:C130"/>
    <mergeCell ref="D130:E130"/>
    <mergeCell ref="F130:G130"/>
    <mergeCell ref="A109:B109"/>
    <mergeCell ref="A110:B110"/>
    <mergeCell ref="A111:A116"/>
    <mergeCell ref="A117:A118"/>
    <mergeCell ref="A119:B119"/>
    <mergeCell ref="A88:A91"/>
    <mergeCell ref="B88:B89"/>
    <mergeCell ref="B90:B91"/>
    <mergeCell ref="A92:B93"/>
    <mergeCell ref="A108:C108"/>
    <mergeCell ref="A82:B83"/>
    <mergeCell ref="A85:R85"/>
    <mergeCell ref="A86:C87"/>
    <mergeCell ref="D86:Q86"/>
    <mergeCell ref="R86:R87"/>
    <mergeCell ref="A76:C77"/>
    <mergeCell ref="D76:J76"/>
    <mergeCell ref="K76:K77"/>
    <mergeCell ref="A78:A81"/>
    <mergeCell ref="B78:B79"/>
    <mergeCell ref="B80:B81"/>
    <mergeCell ref="A68:A71"/>
    <mergeCell ref="B68:B69"/>
    <mergeCell ref="B70:B71"/>
    <mergeCell ref="A72:B73"/>
    <mergeCell ref="A75:K75"/>
    <mergeCell ref="A62:B63"/>
    <mergeCell ref="A65:H65"/>
    <mergeCell ref="A66:C67"/>
    <mergeCell ref="D66:G66"/>
    <mergeCell ref="H66:H67"/>
    <mergeCell ref="A55:F55"/>
    <mergeCell ref="A56:C57"/>
    <mergeCell ref="D56:E56"/>
    <mergeCell ref="F56:F57"/>
    <mergeCell ref="A58:A61"/>
    <mergeCell ref="B58:B59"/>
    <mergeCell ref="B60:B61"/>
    <mergeCell ref="A40:B40"/>
    <mergeCell ref="A41:A44"/>
    <mergeCell ref="A46:G46"/>
    <mergeCell ref="A47:A49"/>
    <mergeCell ref="B47:G47"/>
    <mergeCell ref="B48:C48"/>
    <mergeCell ref="D48:E48"/>
    <mergeCell ref="F48:G48"/>
    <mergeCell ref="A29:C29"/>
    <mergeCell ref="A30:B30"/>
    <mergeCell ref="A31:B31"/>
    <mergeCell ref="A32:A37"/>
    <mergeCell ref="A38:A3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IBM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IBM SPSS Export Facility</dc:creator>
  <cp:lastModifiedBy>Ward, Amanda</cp:lastModifiedBy>
  <dcterms:created xsi:type="dcterms:W3CDTF">2011-08-01T14:22:18Z</dcterms:created>
  <dcterms:modified xsi:type="dcterms:W3CDTF">2026-04-14T16:56:09Z</dcterms:modified>
</cp:coreProperties>
</file>